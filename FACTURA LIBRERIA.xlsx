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NA IA\Downloads\"/>
    </mc:Choice>
  </mc:AlternateContent>
  <xr:revisionPtr revIDLastSave="0" documentId="13_ncr:1_{712F6E68-85AD-470C-9626-C651CE6150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CTURA" sheetId="5" r:id="rId1"/>
    <sheet name="VENDEDORES " sheetId="2" r:id="rId2"/>
    <sheet name="productos " sheetId="1" r:id="rId3"/>
    <sheet name="CLIENTES " sheetId="3" r:id="rId4"/>
  </sheets>
  <definedNames>
    <definedName name="CLIENTE">'CLIENTES '!$A$1:$G$156</definedName>
    <definedName name="PRODUCTO">'productos '!$A$1:$C$536</definedName>
    <definedName name="VENDEDOR">'VENDEDORES '!$A$1:$F$8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5" l="1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8" i="5"/>
  <c r="D33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8" i="5"/>
  <c r="H8" i="5"/>
  <c r="D4" i="5"/>
  <c r="B3" i="5"/>
  <c r="J33" i="5" l="1"/>
  <c r="J35" i="5" l="1"/>
  <c r="J34" i="5"/>
  <c r="J36" i="5" l="1"/>
</calcChain>
</file>

<file path=xl/sharedStrings.xml><?xml version="1.0" encoding="utf-8"?>
<sst xmlns="http://schemas.openxmlformats.org/spreadsheetml/2006/main" count="1220" uniqueCount="1213">
  <si>
    <t>ACETATO PARA FOTOCOPIADO - CARTA</t>
  </si>
  <si>
    <t>ACETATO PARA FOTOCOPIADORA.</t>
  </si>
  <si>
    <t>ACETATO PARA IMPRESORA BURBUJA</t>
  </si>
  <si>
    <t>ACETATO PARA LAMINAR CALIBRE 38</t>
  </si>
  <si>
    <t>ACETATO PARA PROYECTOR TRANSPARENCIAS.</t>
  </si>
  <si>
    <t>ACUARELA</t>
  </si>
  <si>
    <t>ACUARELAS PARA DIBUJO.</t>
  </si>
  <si>
    <t>AFICHES.</t>
  </si>
  <si>
    <t>AGENDA EMPRESARIAL.</t>
  </si>
  <si>
    <t>AGENDA PARA CONTROL DE CITAS</t>
  </si>
  <si>
    <t>ALMOHADILLA PARA HUELLAS DACTILARES.</t>
  </si>
  <si>
    <t>ALMOHADILLA PARA SELLO</t>
  </si>
  <si>
    <t>ANALISIS DE CARTERA</t>
  </si>
  <si>
    <t>ANILLO PLASTICO PARA ENCUADERNACION DE 11MM</t>
  </si>
  <si>
    <t>ANILLO PLASTICO PARA ENCUADERNACION DE 15MM</t>
  </si>
  <si>
    <t>ANILLO PLASTICO PARA ENCUADERNACION DE 18 MM</t>
  </si>
  <si>
    <t>ANILLO PLASTICO PARA ENCUADERNACION DE 20MM</t>
  </si>
  <si>
    <t>ANILLO PLASTICO PARA ENCUADERNACION DE 25 MM.</t>
  </si>
  <si>
    <t>ANILLO PLASTICO PARA ENCUADERNACION DE 39 MM</t>
  </si>
  <si>
    <t>ANILLO PLASTICO PARA ENCUADERNACION DE 6 MM.</t>
  </si>
  <si>
    <t>ANILLO PLASTICO PARA ENCUADERNACION DE 9MM</t>
  </si>
  <si>
    <t>BANDAS DE CAUCHO</t>
  </si>
  <si>
    <t>BARRA DE SILICONA</t>
  </si>
  <si>
    <t>BLOCK BOND RAYADO CARTA</t>
  </si>
  <si>
    <t>BLOCK CUADROS CARTA</t>
  </si>
  <si>
    <t>BLOCK DE ANALISIS</t>
  </si>
  <si>
    <t>BLOCK PAPEL MANTEQUILLA X 50 HOJAS,</t>
  </si>
  <si>
    <t>BLOCK PERIODICO CARTA.</t>
  </si>
  <si>
    <t>BOLIGRAFO UNI-BALL - NEGRO.</t>
  </si>
  <si>
    <t>BOLIGRAFO UNI-BALL - ROJO.</t>
  </si>
  <si>
    <t>BOLIGRAFOS</t>
  </si>
  <si>
    <t>BOLSA DE PAPEL PARA EMPAQUE.</t>
  </si>
  <si>
    <t>BOLSILLO CATALOGO OFICIO</t>
  </si>
  <si>
    <t>BORRADOR DE NATA</t>
  </si>
  <si>
    <t>BORRADOR DE TINTA Y LAPIZ</t>
  </si>
  <si>
    <t>BORRADOR PARA TABLERO ACRILICO</t>
  </si>
  <si>
    <t>CAJA ARCHIVO # 12 .</t>
  </si>
  <si>
    <t>CAJA ARCHIVO # 4 .</t>
  </si>
  <si>
    <t>CARATULAS PLASTIFICADA CARTA, COLORES SURTIDOS</t>
  </si>
  <si>
    <t>CARATULAS PLASTIFICADA OFICIO, COLORES SURTIDOS</t>
  </si>
  <si>
    <t>CARPETA PARA LEGAJAR</t>
  </si>
  <si>
    <t>CARPETAS DIVIFOLDER DE 4 PARTES</t>
  </si>
  <si>
    <t>CARPETAS DIVIFOLDER DE 5 PARTES</t>
  </si>
  <si>
    <t>CARPETAS MEMBRETEADAS CARTA</t>
  </si>
  <si>
    <t>CARPETAS MEMBRETEADAS OFICIO.</t>
  </si>
  <si>
    <t>CARPETAS PARA HOJA DE VIDA.</t>
  </si>
  <si>
    <t>CARPETAS PLASTICAS TAMAÑO OFICIO PARA ARCHIVO.</t>
  </si>
  <si>
    <t>CARTON CARTULINA DE 70 X 100</t>
  </si>
  <si>
    <t>CARTON DE 1 1/2" MM, DE 70 X 100 CMS.</t>
  </si>
  <si>
    <t>CARTON PAJA</t>
  </si>
  <si>
    <t>CARTON PAJA EN OCTAVOS</t>
  </si>
  <si>
    <t>CARTUCHO DE TINTA COLOR 810 - REF:C6625</t>
  </si>
  <si>
    <t>CARTUCHO DE TINTA NEGRA 810 - REF:C6615D</t>
  </si>
  <si>
    <t>CARTUCHO H.P 51640A NEGRO.</t>
  </si>
  <si>
    <t>CARTUCHO IMPRESORA 1600 HP NEGRO</t>
  </si>
  <si>
    <t>CARTUCHO IMPRESORA H.P. 51640Y</t>
  </si>
  <si>
    <t>CARTUCHO IMPRESORA H.P. C M Y COLOR 51640</t>
  </si>
  <si>
    <t>CARTUCHO IMPRESORA H.P. COLOR 51625A</t>
  </si>
  <si>
    <t>CARTUCHO IMPRESORA H.P. NEGRO 02610A</t>
  </si>
  <si>
    <t>CARTUCHO IMPRESORA H.P. NEGRO 51625A</t>
  </si>
  <si>
    <t>CARTUCHO IMPRESORA H.P. NEGRO 51626A</t>
  </si>
  <si>
    <t>CARTUCHO IMPRESORA H.P. NEGRO 51629A</t>
  </si>
  <si>
    <t>CARTUCHO IMPRESORA H.P. NEGRO 51645A</t>
  </si>
  <si>
    <t>CARTUCHO IMPRESORA HP.51649 TRI - COLOR</t>
  </si>
  <si>
    <t>CARTUCHO IMPRESORA LASER H.P 03 A</t>
  </si>
  <si>
    <t>CARTUCHO IMPRESORA LASER H.P 98 A</t>
  </si>
  <si>
    <t>CARTUCHO IMPRESORA LASER HP 5L</t>
  </si>
  <si>
    <t>CARTUCHO IMPRESORA LASER JET 4 PLUS</t>
  </si>
  <si>
    <t>CARTUCHO IMPRESORA LASER JET 6L</t>
  </si>
  <si>
    <t>CARTUCHO INYECCION H.P.C6678D</t>
  </si>
  <si>
    <t>CARTUCHO INYECCION TRICOLOR HP - C6578D</t>
  </si>
  <si>
    <t>CARTUCHO LASER JET 92298A.</t>
  </si>
  <si>
    <t>CARTUCHO MINOLTA EP 470 ORIG. X 240.</t>
  </si>
  <si>
    <t>CARTUCHO PAR IMPRESORA H.P 670 COLOR 51649A.</t>
  </si>
  <si>
    <t>CARTUCHO PARA FAX - 700 H.P.</t>
  </si>
  <si>
    <t>CARTUCHO PARA FAX CANON REF B-140</t>
  </si>
  <si>
    <t>CARTUCHO PARA FAX CANON REF BC-01</t>
  </si>
  <si>
    <t>CARTUCHO PARA FAX CANON REF BC-02</t>
  </si>
  <si>
    <t>CARTUCHO PARA IMPRESORA A COLOR DESKJET 1200 C7115A</t>
  </si>
  <si>
    <t>CARTUCHO PARA IMPRESORA CANON BJ 660.</t>
  </si>
  <si>
    <t>CARTUCHO PARA IMPRESORA CANON BJC 600</t>
  </si>
  <si>
    <t>CARTUCHO PARA IMPRESORA DESKJET 1600 HP COLOR BLACK</t>
  </si>
  <si>
    <t>CARTUCHO PARA IMPRESORA H.P LASER JET C4092A</t>
  </si>
  <si>
    <t>CARTUCHO PARA IMPRESORA H.P. 51640C</t>
  </si>
  <si>
    <t>CARTUCHO PARA IMPRESORA H.P. DESJECT 560C.</t>
  </si>
  <si>
    <t>CARTUCHO PARA IMPRESORA H.P. LASER JET 4050, REF:4127A.</t>
  </si>
  <si>
    <t>CARTUCHO PARA IMPRESORA HP 51645G BLACK</t>
  </si>
  <si>
    <t>CARTUCHO PARA IMPRESORA HP 670 NEGRO</t>
  </si>
  <si>
    <t>CARTUCHO PARA IMPRESORA HP C65780 COLOR</t>
  </si>
  <si>
    <t>CARTUCHO PARA IMPRESORA HP LASER JET C3903A</t>
  </si>
  <si>
    <t>CARTUCHO PARA IMPRESORA LASER BJI-201 TINTA AMARILLA</t>
  </si>
  <si>
    <t>CARTUCHO PARA IMPRESORA LASER BJI-201 TINTA AZUL</t>
  </si>
  <si>
    <t>CARTUCHO PARA IMPRESORA LASER BJI-201 TINTA MAGENTA</t>
  </si>
  <si>
    <t>CARTUCHO PARA IMPRESORA LASER BJI-201 TINTA NEGRA</t>
  </si>
  <si>
    <t>CARTUCHO PARA IMPRESORA LASER BJI-201 TINTA ROJA</t>
  </si>
  <si>
    <t>CARTUCHO PARA IMPRESORA LASER C3906A.</t>
  </si>
  <si>
    <t>CARTUCHO PARA IMPRESORA LASER JET C3992A.</t>
  </si>
  <si>
    <t>CARTUCHO TINTA HP C 6614A COLOR NEGRO.</t>
  </si>
  <si>
    <t>CARTUCHO TINTA IMPRESORA EPSON T 026 - NEGRO.</t>
  </si>
  <si>
    <t>CARTUCHO TINTA IMPRESORA EPSON T 027 - COLOR.</t>
  </si>
  <si>
    <t>CARTUCHO TINTA IMPRESORA H,P. REF:6578A - NEGRO</t>
  </si>
  <si>
    <t>CARTULINA 70 X 100 BLANCA.</t>
  </si>
  <si>
    <t>CARTULINA 70 X 100 COLOR AZUL.</t>
  </si>
  <si>
    <t>CARTULINA BRISTOL DE 70 X 100 COLOR AMARILLO.</t>
  </si>
  <si>
    <t>CARTULINA BRISTOL DE 70 X 100 COLOR NEGRO</t>
  </si>
  <si>
    <t>CARTULINA BRISTOL DE 70 X 100 COLOR ROSADO.</t>
  </si>
  <si>
    <t>CARTULINA BRISTOL DE 70 X 100 COLORES SURTIDOS.</t>
  </si>
  <si>
    <t>CARTULINA BRISTOL OFICIO</t>
  </si>
  <si>
    <t>CARTULINA EN OCTAVOS AMARILLA</t>
  </si>
  <si>
    <t>CARTULINA EN OCTAVOS COLOR BLANCO</t>
  </si>
  <si>
    <t>CARTULINA EN OCTAVOS COLOR NEGRO</t>
  </si>
  <si>
    <t>CARTULINA EN OCTAVOS COLOR VERDE</t>
  </si>
  <si>
    <t>CARTULINA EN OCTAVOS ROSADA</t>
  </si>
  <si>
    <t>CARTULINA EN OCTAVOS.</t>
  </si>
  <si>
    <t>CARTULINA FOSFORECENTE.</t>
  </si>
  <si>
    <t>CARTULINA MEDIO PLIEGO.</t>
  </si>
  <si>
    <t>CARTULINA SEPARADORA TIPO ABECEDARIO.</t>
  </si>
  <si>
    <t>CARTULINA TAMAÑO CARTA COLORES SURTIDOS.</t>
  </si>
  <si>
    <t>CARTULINA TAMAÑO OFICIO - COLOR AZUL</t>
  </si>
  <si>
    <t>CARTULINA TAMAÑO OFICIO - COLOR VERDE</t>
  </si>
  <si>
    <t>CD NO REGRABABLE</t>
  </si>
  <si>
    <t>CD REGRABABLE</t>
  </si>
  <si>
    <t>CHEQUERA DIDACTICA</t>
  </si>
  <si>
    <t>CHINCHES</t>
  </si>
  <si>
    <t>CINTA 4MM DIGITAL DATA</t>
  </si>
  <si>
    <t>CINTA ADHESIVA</t>
  </si>
  <si>
    <t>CINTA ADHESIVA DOBLE FAS</t>
  </si>
  <si>
    <t>CINTA BICOLOR PARA CALCULADORA</t>
  </si>
  <si>
    <t>CINTA CANON AP800 CODIGO VERDE</t>
  </si>
  <si>
    <t>CINTA DATA CARTRIDGE 250 MB</t>
  </si>
  <si>
    <t>CINTA DATA CARTRIDGE 4MM - 150M DE 20G.</t>
  </si>
  <si>
    <t>CINTA DATA CARTRIDGE 500 MB</t>
  </si>
  <si>
    <t>CINTA DATA CARTRIDGE DC 6525 MB</t>
  </si>
  <si>
    <t>CINTA EMPAQUE 2"</t>
  </si>
  <si>
    <t>CINTA ERC - 30 H. D.</t>
  </si>
  <si>
    <t>CINTA ESPUMA DOBLE</t>
  </si>
  <si>
    <t>CINTA FALLA.</t>
  </si>
  <si>
    <t>CINTA IMPRESORA - KX -1151 ORIGINAL.</t>
  </si>
  <si>
    <t>CINTA IMPRESORA 320/322</t>
  </si>
  <si>
    <t>CINTA IMPRESORA BROTHER 1150</t>
  </si>
  <si>
    <t>CINTA IMPRESORA EPSON 810.</t>
  </si>
  <si>
    <t>CINTA IMPRESORA FX 1050</t>
  </si>
  <si>
    <t>CINTA IMPRESORA LQ 1070</t>
  </si>
  <si>
    <t>CINTA IMPRESORA LQ 1170</t>
  </si>
  <si>
    <t>CINTA IMPRESORA PANASONIC - KXP-170</t>
  </si>
  <si>
    <t>CINTA MAGICA PARA REMENDAR PLANOS</t>
  </si>
  <si>
    <t>CINTA NYLON BROTHER C60EM200</t>
  </si>
  <si>
    <t>CINTA NYLON BROTHER EM71-711</t>
  </si>
  <si>
    <t>CINTA NYLON BROTHER EM850</t>
  </si>
  <si>
    <t>CINTA NYLON CANON AP150</t>
  </si>
  <si>
    <t>CINTA NYLON CANON AP360/600</t>
  </si>
  <si>
    <t>CINTA NYLON NEGRA MAQUINA DE ESCRIBIR MECANICA</t>
  </si>
  <si>
    <t>CINTA NYLON PANASONIK KXE508E</t>
  </si>
  <si>
    <t>CINTA PANTEX VERDE</t>
  </si>
  <si>
    <t>CINTA PARA ADORNOS</t>
  </si>
  <si>
    <t>CINTA PARA IMPPRESORA PANASONIC KX- P3696</t>
  </si>
  <si>
    <t>CINTA PARA IMPRESORA</t>
  </si>
  <si>
    <t>CINTA PARA IMPRESORA BROTHER M1909 KORES</t>
  </si>
  <si>
    <t>CINTA PARA IMPRESORA EPSON FX 2170</t>
  </si>
  <si>
    <t>CINTA PARA IMPRESORA EPSON LX-300</t>
  </si>
  <si>
    <t>CINTA PARA IMPRESORA FX 1170</t>
  </si>
  <si>
    <t>CINTA PARA IMPRESORA TEXAS OMNI 800 MO. 835</t>
  </si>
  <si>
    <t>CINTA PARA MAQUINA DE ESCRIBIR BROTHER EM-630</t>
  </si>
  <si>
    <t>CINTA PARA MAQUINA DE ESCRIBIR CANON AP 8300</t>
  </si>
  <si>
    <t>CINTA PARA MAQUINA MANUAL NEGRA KORES</t>
  </si>
  <si>
    <t>COLORES X 12 UN</t>
  </si>
  <si>
    <t>COLORES X 24 UN</t>
  </si>
  <si>
    <t>COLORES X 36 UN</t>
  </si>
  <si>
    <t>COMPROBANTE DE DIARIO</t>
  </si>
  <si>
    <t>COMPROBANTE DE EGRESO CON CHEQUE</t>
  </si>
  <si>
    <t>COMPROBANTE DE EGRESO PROFORMA</t>
  </si>
  <si>
    <t>COMPROBANTE DE EGRESO SIN CHEQUE</t>
  </si>
  <si>
    <t>COMPROBANTE DE INGRESO PROFORMA</t>
  </si>
  <si>
    <t>COMPROBANTES DE CONTABILIDAD</t>
  </si>
  <si>
    <t>CONCILIACION BANCARIA</t>
  </si>
  <si>
    <t>CONTRACARATULA PLASTIFICADA CARTA, COLORES SURTIDOS</t>
  </si>
  <si>
    <t>CONTRACARATULA PLASTIFICADA OFICIO, COLORES SURTIDOS</t>
  </si>
  <si>
    <t>CORDON PARA ESCARAPELA.</t>
  </si>
  <si>
    <t>CORRECTOR LIQUIDO BLANCO</t>
  </si>
  <si>
    <t>CORRECTOR LIQUIDO EN FORMA DE LAPIZ</t>
  </si>
  <si>
    <t>CORTAPAPEL</t>
  </si>
  <si>
    <t>COSEDORA PEQUENA PARA OFICINA.</t>
  </si>
  <si>
    <t>COTIZACION</t>
  </si>
  <si>
    <t>CRAYOLAS POR 12 COLORES</t>
  </si>
  <si>
    <t>CRAYON SURTIDO.</t>
  </si>
  <si>
    <t>CUADERNILLO PAPEL CUADRICULADO DOBLE 0 X 5</t>
  </si>
  <si>
    <t>CUADERNO ANALISIS X 14 COLUMNAS</t>
  </si>
  <si>
    <t>CUADERNO ANALISIS X 3 COLUMNAS</t>
  </si>
  <si>
    <t>CUADERNO ANALISIS X 5 COLUMNAS</t>
  </si>
  <si>
    <t>CUADERNO ANALISIS X 6 COLUMNAS</t>
  </si>
  <si>
    <t>CUADERNO ARGOLLADO GRANDE</t>
  </si>
  <si>
    <t>CUADERNO ARGOLLADO PEQUE?O</t>
  </si>
  <si>
    <t>CUADERNO DE CONTABILIDAD</t>
  </si>
  <si>
    <t>CUADERNO DIARIO 8 COLUMNAS DOBLES</t>
  </si>
  <si>
    <t>CUADERNO DIARIO X 18 COLUMNAS</t>
  </si>
  <si>
    <t>CUADERNO PARA MAYOR Y BALANCE</t>
  </si>
  <si>
    <t>CUADERNO TIPO ESCOLAR.</t>
  </si>
  <si>
    <t>CUCHILLA PARA CORTAPAPEL.</t>
  </si>
  <si>
    <t>CUENTA DE COBRO</t>
  </si>
  <si>
    <t>CURVIGRAFO PLASTICO.</t>
  </si>
  <si>
    <t>DILUYENTE LIQUIDO PARA CORRECTOR</t>
  </si>
  <si>
    <t>DISKETE ZIP DRIVE</t>
  </si>
  <si>
    <t>DISKETTE DE 3.5 - ALTA DENSIDAD</t>
  </si>
  <si>
    <t>DISKETTE DE ALMACENAMIENTO DE 100 MB, (ZIP)</t>
  </si>
  <si>
    <t>DISPENSADOR PARA CINTA ADHESIVA.</t>
  </si>
  <si>
    <t>ESCUADRA DE 25 CMS.</t>
  </si>
  <si>
    <t>ESCUADRA DE 32 CMS X 45</t>
  </si>
  <si>
    <t>ESCUADRA DE 40 CMS X 60</t>
  </si>
  <si>
    <t>ESCUADRA DE 50 CMS X 45</t>
  </si>
  <si>
    <t>ESCUADRA PLASTICA.</t>
  </si>
  <si>
    <t>ESFEROGRAFICO ORDINARIO MINA AZUL</t>
  </si>
  <si>
    <t>ESFEROGRAFICO ORDINARIO MINA NEGRA</t>
  </si>
  <si>
    <t>ESFEROGRAFICO ORDINARIO MINA ROJA</t>
  </si>
  <si>
    <t>ESFEROGRAFICO ORDINARIO MINA VERDE</t>
  </si>
  <si>
    <t>ESTILOGRAFO COMUN.</t>
  </si>
  <si>
    <t>FACTURA CAMBIARIA DE COMPRAVENTA</t>
  </si>
  <si>
    <t>FACTURA DE VENTA</t>
  </si>
  <si>
    <t>FECHADOR DE CAUCHO</t>
  </si>
  <si>
    <t>FICHA GUIA PARA ARCHIVO</t>
  </si>
  <si>
    <t>FOLDER ARGOLLA DE 3 ORIFICIOS</t>
  </si>
  <si>
    <t>FOLDER COLGANTE</t>
  </si>
  <si>
    <t>FOLDER DE PLASTICO HORIZONTAL</t>
  </si>
  <si>
    <t>FOLDER DE YUTE ALETA HORIZONTAL.</t>
  </si>
  <si>
    <t>FOLDER DE YUTE ALETA VERTICAL</t>
  </si>
  <si>
    <t>FOLDER DE YUTE PLASTIFICADO</t>
  </si>
  <si>
    <t>FOLDER KIPPERLINE PLASTIFICADO</t>
  </si>
  <si>
    <t>FOLDER LEGAJADOR OFICIO HORIZONTAL</t>
  </si>
  <si>
    <t>FONOMEMO</t>
  </si>
  <si>
    <t>FORMATO PARA PEDIDO</t>
  </si>
  <si>
    <t>FORMULARIO DE RETENCION EN LA FUENTE.</t>
  </si>
  <si>
    <t>FRANJA AUTOADHESIVA * 100</t>
  </si>
  <si>
    <t>FUELLE TAMAÑO CARTA</t>
  </si>
  <si>
    <t>FUELLE TAMAÑO OFICIO.</t>
  </si>
  <si>
    <t>FUNDA PLASTICA PARA ESCARAPELA.</t>
  </si>
  <si>
    <t>GANCHO CLIP MARIPOSA</t>
  </si>
  <si>
    <t>GANCHO CLIPS #2</t>
  </si>
  <si>
    <t>GANCHO NODRIZA</t>
  </si>
  <si>
    <t>GANCHO PARA COSEDORA STANDARD X 5000 UNIDADES.</t>
  </si>
  <si>
    <t>GANCHO PARA LEGAJAR .</t>
  </si>
  <si>
    <t>GANCHO PARA LEGAJAR 8 X 4 X 20 JUEGOS.</t>
  </si>
  <si>
    <t>GANCHOS PARA COSEDORA SEMI-INDUSTRIAL</t>
  </si>
  <si>
    <t>GANCHOS LEGAJADOR</t>
  </si>
  <si>
    <t>GUIA PARA SELECCION DE COLOR</t>
  </si>
  <si>
    <t>GUIAS PLASTICAS PARA ARCHIVO.</t>
  </si>
  <si>
    <t>GUIAS TIRILLAS CELUGUIA COLORES.</t>
  </si>
  <si>
    <t>HOJAS CONTINUAS 14 7/8 X 1 PARTES</t>
  </si>
  <si>
    <t>HOJAS CONTINUAS 14 7/8 X 2 PARTES</t>
  </si>
  <si>
    <t>HOJAS CONTINUAS 9 1/2 X 11 1 PARTES BLANCA</t>
  </si>
  <si>
    <t>HOJAS CONTINUAS 9 1/2 X 11 2 PARTES BLANCA</t>
  </si>
  <si>
    <t>HOJAS CONTINUAS 9 1/2 X 11 3 PARTES BLANCA</t>
  </si>
  <si>
    <t>HOJAS CONTINUAS 9 1/2*3 PARTES BLANCA</t>
  </si>
  <si>
    <t>ICOPOR DE 1 CM DE ESPESOR</t>
  </si>
  <si>
    <t>INDICE PARA LIBROS</t>
  </si>
  <si>
    <t>LAPIZ 2B</t>
  </si>
  <si>
    <t>LAPIZ 6B</t>
  </si>
  <si>
    <t>LAPIZ BORRADOR DE TINTA</t>
  </si>
  <si>
    <t>LAPIZ DE CARBONCILLO.</t>
  </si>
  <si>
    <t>LAPIZ DE GRAFITO #2</t>
  </si>
  <si>
    <t>LAPIZ DE MINA VERDE.</t>
  </si>
  <si>
    <t>LAPIZ PARA DIBUJO 2H</t>
  </si>
  <si>
    <t>LAPIZ PARA DIBUJO HB</t>
  </si>
  <si>
    <t>LAPIZ ROJO</t>
  </si>
  <si>
    <t>LAPIZ VIDRIO - GRAPH-2330</t>
  </si>
  <si>
    <t>LETRA DE CAMBIO</t>
  </si>
  <si>
    <t>LIBRANZA</t>
  </si>
  <si>
    <t>LIBRETA BOND CARTA CUADRICULADO</t>
  </si>
  <si>
    <t>LIBRETA BOND CARTA RAYADA</t>
  </si>
  <si>
    <t>LIBRETA BOND MEDIA CARTA</t>
  </si>
  <si>
    <t>LIBRETA BOND MEDIA CARTA RAYADA</t>
  </si>
  <si>
    <t>LIBRETA CONTABLE MULTIUSOS</t>
  </si>
  <si>
    <t>LIBRETA PAPEL BOND MEDIO OFICIO.</t>
  </si>
  <si>
    <t>LIBRETA PARA TAQUIGRAFIA</t>
  </si>
  <si>
    <t>LIBRETA PERIODICO CARTA</t>
  </si>
  <si>
    <t>LIBRETA PERIODICO MEDIA CARTA</t>
  </si>
  <si>
    <t>LIBRETA PERIODICO OFICIO</t>
  </si>
  <si>
    <t>LIBRO DE 3 COLUMNAS DE 300 FOLIOS</t>
  </si>
  <si>
    <t>LIBRO DE ACTAS DE 100 FOLIOS</t>
  </si>
  <si>
    <t>LIBRO DE TRES COLUMNAS 100 FOLIOS</t>
  </si>
  <si>
    <t>LIBRO DE TRES COLUMNAS 50 FOLIOS</t>
  </si>
  <si>
    <t>LIBRO DIARIO DE CONTABILIDAD 18 COLUMNAS DOBLES</t>
  </si>
  <si>
    <t>LIBRO OFICIAL PARA DIARIO DE 20 COLUMNAS</t>
  </si>
  <si>
    <t>LIBRO PARA MINUTAS DE 100 FOLIOS.</t>
  </si>
  <si>
    <t>LIENZO</t>
  </si>
  <si>
    <t>LIQUIDACION DE PORCENTAJE SOBRE CESANTIAS</t>
  </si>
  <si>
    <t>LIQUIDACION PRIMA DE SERVICIOS</t>
  </si>
  <si>
    <t>LIQUIDACION Y PAGO DE VACACIONES</t>
  </si>
  <si>
    <t>LUPA PEQUEÑA TIPO ESCOLAR.</t>
  </si>
  <si>
    <t>MANECILLA METALICA PARA PAPELES.</t>
  </si>
  <si>
    <t>MARBETE PARA PESTAÑA FOLDER COLGANTE</t>
  </si>
  <si>
    <t>MARBETES AUTOADHESIVOS.</t>
  </si>
  <si>
    <t>MARCADOR PARA ACETATO AMARILLO</t>
  </si>
  <si>
    <t>MARCADOR PARA ACETATO AZUL</t>
  </si>
  <si>
    <t>MARCADOR PARA ACETATO NEGRO</t>
  </si>
  <si>
    <t>MARCADOR PARA ACETATO ROJO</t>
  </si>
  <si>
    <t>MARCADOR PARA C.D</t>
  </si>
  <si>
    <t>MARCADOR PERMANENTE - COLOR NEGRO</t>
  </si>
  <si>
    <t>MARCADOR PERMANENTE - COLORES SURTIDOS</t>
  </si>
  <si>
    <t>MARCADOR PERMANENTE AZUL.</t>
  </si>
  <si>
    <t>MARCADOR PERMANENTE ROJO</t>
  </si>
  <si>
    <t>MARCADOR PERMANENTE VERDE</t>
  </si>
  <si>
    <t>MARCADOR SECO - VERDE</t>
  </si>
  <si>
    <t>MARCADOR SECO AZUL</t>
  </si>
  <si>
    <t>MARCADOR SECO BORRABLE COLORES SURTIDOS.</t>
  </si>
  <si>
    <t>MARCADOR SECO NEGRO</t>
  </si>
  <si>
    <t>MARCADOR SECO ROJO</t>
  </si>
  <si>
    <t>MEMORANDO</t>
  </si>
  <si>
    <t>MICROPUNTA - COLORES SURTIDOS.</t>
  </si>
  <si>
    <t>MICROPUNTA TINTA AZUL.</t>
  </si>
  <si>
    <t>MICROPUNTA TINTA NEGRA</t>
  </si>
  <si>
    <t>MICROPUNTA TINTA ROJA</t>
  </si>
  <si>
    <t>MICROPUNTA TINTA VERDE</t>
  </si>
  <si>
    <t>MINA PARA BOLIGRAFO..</t>
  </si>
  <si>
    <t>MINAS PARA PORTAMINAS DE 0.5MM</t>
  </si>
  <si>
    <t>MINAS PARA PORTAMINAS DE 0.7MM</t>
  </si>
  <si>
    <t>MINAS PARA PORTAMINAS DE 2 MM</t>
  </si>
  <si>
    <t>MINI C.D.</t>
  </si>
  <si>
    <t>MOVIMIENTO DE MERCANCIAS</t>
  </si>
  <si>
    <t>MOVIMIENTO DIARIO DE CAJA</t>
  </si>
  <si>
    <t>NOMINA REF. 10-17</t>
  </si>
  <si>
    <t>NOTA CREDITO</t>
  </si>
  <si>
    <t>NOTA DE CONTABILIDAD PROFORMA</t>
  </si>
  <si>
    <t>NOTA DE PRODUCCION - ENTRADA.</t>
  </si>
  <si>
    <t>NOTA DE PRODUCCION - SALIDA.</t>
  </si>
  <si>
    <t>NOTA DEBITO</t>
  </si>
  <si>
    <t>NOTAS AUTOADHESIVAS</t>
  </si>
  <si>
    <t>NOTAS AUTOADHESIVAS DE 75 X 57 MM.</t>
  </si>
  <si>
    <t>NOTAS AUTOADHESIVAS DE 76 X 100 MM</t>
  </si>
  <si>
    <t>NUMERADOR DE CAUCHO</t>
  </si>
  <si>
    <t>ORDEN DE COMPRA PROFORMA</t>
  </si>
  <si>
    <t>PAGARE PROFORMA</t>
  </si>
  <si>
    <t>PALITO DE BALSO REDONDO</t>
  </si>
  <si>
    <t>PAPEL ACUARELA COLORES.</t>
  </si>
  <si>
    <t>PAPEL BOND 70 X 100 DE 60GR</t>
  </si>
  <si>
    <t>PAPEL BOND 70 X 100 DE 75GR</t>
  </si>
  <si>
    <t>PAPEL BOND BLANCO DE 60 GR. DE 70 X 100</t>
  </si>
  <si>
    <t>PAPEL BOND BLANCO PARA FOTOCOPIADORA - CARTA 75GR</t>
  </si>
  <si>
    <t>PAPEL BOND BLANCO PARA FOTOCOPIADORA - OFICIO 75GR</t>
  </si>
  <si>
    <t>PAPEL BOND CARTA 60 GRAMOS.</t>
  </si>
  <si>
    <t>PAPEL BOND CARTA MEMBRETEADO 75G</t>
  </si>
  <si>
    <t>PAPEL BOND COLORES PARA FOTOCOPIADORA - CARTA 75GR</t>
  </si>
  <si>
    <t>PAPEL BOND DE 3" X 40 METROS, IMPRESO</t>
  </si>
  <si>
    <t>PAPEL BOND OFICIO 60 GRAMOS.</t>
  </si>
  <si>
    <t>PAPEL BOND OFICIO MEBRETEADO 75G</t>
  </si>
  <si>
    <t>PAPEL CALCO.</t>
  </si>
  <si>
    <t>PAPEL CANSON</t>
  </si>
  <si>
    <t>PAPEL CARBON CARTA</t>
  </si>
  <si>
    <t>PAPEL CARBON PLASTIFICADO TAMAÑO OFICIO</t>
  </si>
  <si>
    <t>PAPEL CELOFAN, COLORES SURTIDOS</t>
  </si>
  <si>
    <t>PAPEL CONTAC</t>
  </si>
  <si>
    <t>PAPEL CONTAC A COLOR - SURTIDO</t>
  </si>
  <si>
    <t>PAPEL COPIA TAMAÑO CARTA X 35 GRAMOS</t>
  </si>
  <si>
    <t>PAPEL COPIA TAMAÑO OFICIO</t>
  </si>
  <si>
    <t>PAPEL CORRUGADO</t>
  </si>
  <si>
    <t>PAPEL CREPE</t>
  </si>
  <si>
    <t>PAPEL CRISTAL</t>
  </si>
  <si>
    <t>PAPEL CUADRICULADO OFICIO</t>
  </si>
  <si>
    <t>PAPEL CUADRICULADO TAMAÑO CARTA.</t>
  </si>
  <si>
    <t>PAPEL CUADRICULADO TAMAÑO DOBLE OFICIO</t>
  </si>
  <si>
    <t>PAPEL DE SEGURIDAD IMPRESO BOND 75 G, CARTA CON LOGO.</t>
  </si>
  <si>
    <t>PAPEL DEGRADE</t>
  </si>
  <si>
    <t>PAPEL DOBLE OFICIO RAYAS.</t>
  </si>
  <si>
    <t>PAPEL DUREX</t>
  </si>
  <si>
    <t>PAPEL GAMUSA</t>
  </si>
  <si>
    <t>PAPEL GLOSSY H.P. PREMIUN POR 10,</t>
  </si>
  <si>
    <t>PAPEL H.P CARTA BRI. BLANCO</t>
  </si>
  <si>
    <t>PAPEL IMPRENTA 70 X 100</t>
  </si>
  <si>
    <t>PAPEL INKJET CARTA 76 GR. 200 HOJA NORMAL</t>
  </si>
  <si>
    <t>PAPEL KIMBERLY</t>
  </si>
  <si>
    <t>PAPEL KIMBERLY 70 X100 120 GR</t>
  </si>
  <si>
    <t>PAPEL KRAFT</t>
  </si>
  <si>
    <t>PAPEL LEGANCY CARTA.</t>
  </si>
  <si>
    <t>PAPEL MANTEQUILLA DE 90 GR. DE 70 X 100 CMS.</t>
  </si>
  <si>
    <t>PAPEL METALIZADO.</t>
  </si>
  <si>
    <t>PAPEL MILANO.</t>
  </si>
  <si>
    <t>PAPEL MILIMETRADO TAMAÑO CARTA.</t>
  </si>
  <si>
    <t>PAPEL MILIMETRADO TAMAÑO OFICIO.</t>
  </si>
  <si>
    <t>PAPEL PARA IMPRESORA 9 1/2 X 11 X 1 PARTE - BLANCO</t>
  </si>
  <si>
    <t>PAPEL PARA IMPRESORA 9 1/2 X 11 X 2 PARTE - BLANCO</t>
  </si>
  <si>
    <t>PAPEL PARA IMPRESORA DE 9 1/2 X 11 X 3 PARTES, BLANCO.</t>
  </si>
  <si>
    <t>PAPEL PARA REVISAR</t>
  </si>
  <si>
    <t>PAPEL PERGAMINO</t>
  </si>
  <si>
    <t>PAPEL PERIODICO 70 X 100</t>
  </si>
  <si>
    <t>PAPEL PERIODICO DE 70 X 100</t>
  </si>
  <si>
    <t>PAPEL PLOTER 36" H.P CALCIO</t>
  </si>
  <si>
    <t>PAPEL PREMIUN H.P CARTA 200 H.</t>
  </si>
  <si>
    <t>PAPEL PROPALCOTE TAMAÑO CARTA.</t>
  </si>
  <si>
    <t>PAPEL RECICLADO DE 75 GR. COLOR DURAZNO.</t>
  </si>
  <si>
    <t>PAPEL RECICLADO DE 75 GR. COLOR VERDE.</t>
  </si>
  <si>
    <t>PAPEL SECANTE</t>
  </si>
  <si>
    <t>PAPEL SEDA</t>
  </si>
  <si>
    <t>PAPEL SEDA 50 X 70</t>
  </si>
  <si>
    <t>PAPEL SILUETA</t>
  </si>
  <si>
    <t>PAPEL SULFITO DE 1.80 DE ANCHO.</t>
  </si>
  <si>
    <t>PAPEL SUMADORA</t>
  </si>
  <si>
    <t>PAPEL TERMICO PARA FAX.</t>
  </si>
  <si>
    <t>PAPEL TORNASOL</t>
  </si>
  <si>
    <t>PAPEL TRAZO 70 GR X 100</t>
  </si>
  <si>
    <t>PAPEL VITAFIL X 1500 METROS</t>
  </si>
  <si>
    <t>PAPELERIA CENTRO CAISAT.</t>
  </si>
  <si>
    <t>PAPELERIA CENTROS FORMACION.</t>
  </si>
  <si>
    <t>PAPELERIA IMPRESA TAMAÑO CARTA</t>
  </si>
  <si>
    <t>PASTA ARGOLLADA TAMAÑO OFICIO</t>
  </si>
  <si>
    <t>PASTA CATALOGO PLASTIFICADA CARTA</t>
  </si>
  <si>
    <t>PASTA DE ARGOLLA 3.0 TAMAÑO CARTA.</t>
  </si>
  <si>
    <t>PASTA LIBRO AUXILIAR R-9</t>
  </si>
  <si>
    <t>PEGANTE EN BARRA PARA CORRESPONDENCIA</t>
  </si>
  <si>
    <t>PEGANTE LIQUIDO GRANDE</t>
  </si>
  <si>
    <t>PEGANTE LIQUIDO MEDIANO</t>
  </si>
  <si>
    <t>PERFORADORA PEQUENA PARA OFICINA.</t>
  </si>
  <si>
    <t>PINCEL PARA DIBUJO.</t>
  </si>
  <si>
    <t>PINCEL PLANO DE CERDA #2.</t>
  </si>
  <si>
    <t>PINCEL PLANO DE CERDA #4.</t>
  </si>
  <si>
    <t>PINCEL PLANO DE CERDA #5.</t>
  </si>
  <si>
    <t>PINCEL PLANO DE CERDA #6.</t>
  </si>
  <si>
    <t>PINCEL PLANO PELO DE MARTA #2</t>
  </si>
  <si>
    <t>PINCEL PLANO PELO DE MARTA #4.</t>
  </si>
  <si>
    <t>PINCEL PLANO PELO DE MARTA #5.</t>
  </si>
  <si>
    <t>PINCEL REDONDO DE CERDA #12.</t>
  </si>
  <si>
    <t>PINCEL REDONDO DE CERDA #2.</t>
  </si>
  <si>
    <t>PINCEL REDONDO DE CERDA #4.</t>
  </si>
  <si>
    <t>PINCEL REDONDO DE CERDA #5.</t>
  </si>
  <si>
    <t>PINCEL REDONDO DE CERDA #6.</t>
  </si>
  <si>
    <t>PINCEL REDONDO PELO DE MARTA #2.</t>
  </si>
  <si>
    <t>PINCEL REDONDO PELO DE MARTA #3.</t>
  </si>
  <si>
    <t>PINCEL REDONDO PELO DE MARTA #6.</t>
  </si>
  <si>
    <t>PLASTILINA BARRA LARGA.</t>
  </si>
  <si>
    <t>PLASTILINA ESCOLAR</t>
  </si>
  <si>
    <t>PLUMIGRAFO A BASE DE AGUA, POR 12 COLORES.</t>
  </si>
  <si>
    <t>PLUMIGRAFO COLORES SURTIDOS.</t>
  </si>
  <si>
    <t>PLUMILLA PARA TINTA.</t>
  </si>
  <si>
    <t>PORTA ACETATOS</t>
  </si>
  <si>
    <t>PORTABORRADOR TIPO LAPIZ</t>
  </si>
  <si>
    <t>PORTACUCHILLA</t>
  </si>
  <si>
    <t>PORTAMINAS</t>
  </si>
  <si>
    <t>PORTAMINAS 0.7</t>
  </si>
  <si>
    <t>PORTAMINAS DE 0.5 MM.</t>
  </si>
  <si>
    <t>PORTAMINAS DE 2 M.M.</t>
  </si>
  <si>
    <t>PORTAREVISTAS</t>
  </si>
  <si>
    <t>POS -IT</t>
  </si>
  <si>
    <t>PROTECTOR DE TRANSPARENCIAS</t>
  </si>
  <si>
    <t>RECETARIO, SERVICIO MEDICO ASISTENCIAL.</t>
  </si>
  <si>
    <t>RECIBO DE CAJA</t>
  </si>
  <si>
    <t>RECIBO DE CAJA MENOR</t>
  </si>
  <si>
    <t>RECIBO DE CAJA PROFORMA</t>
  </si>
  <si>
    <t>REEMBOLSO DE CAJA</t>
  </si>
  <si>
    <t>REEMBOLSO DE CAJA MENOR</t>
  </si>
  <si>
    <t>REFUERZOS ENGOMADOS</t>
  </si>
  <si>
    <t>REGLA DE ALUMINIO DE 30 CMS.</t>
  </si>
  <si>
    <t>REGLA PLASTICA DE 1MT</t>
  </si>
  <si>
    <t>REGLA PLASTICA DE 30 CM</t>
  </si>
  <si>
    <t>REGLA PLASTICA DE 50 CM</t>
  </si>
  <si>
    <t>REGLA PLASTICA TRIANGULAR PARA DIBUJO.</t>
  </si>
  <si>
    <t>REMISIONES MINERVA 3015</t>
  </si>
  <si>
    <t>REPUESTO LAMI PARA BOLIGRAFO - TINTA NEGRA</t>
  </si>
  <si>
    <t>REPUESTO LIBRO AUXILIAR CONTABLE</t>
  </si>
  <si>
    <t>REPUESTO PARA BOLIGRAFO ROLLER BALL- TINTA NEGRA</t>
  </si>
  <si>
    <t>REPUESTO PARA CONTABILIDAD # 1 - R9</t>
  </si>
  <si>
    <t>REPUESTO PARA PASTA DE ARGOLLA.</t>
  </si>
  <si>
    <t>REPUESTO PARA PORTABORRADOR</t>
  </si>
  <si>
    <t>REQUISICION DE MERCANCIAS</t>
  </si>
  <si>
    <t>RESALTADOR COLOR AMARILLO.</t>
  </si>
  <si>
    <t>RESALTADOR COLOR AZUL</t>
  </si>
  <si>
    <t>RESALTADOR COLOR ROSADO</t>
  </si>
  <si>
    <t>RESALTADOR COLOR VERDE</t>
  </si>
  <si>
    <t>RESALTADOR COLORES SURTIDOS</t>
  </si>
  <si>
    <t>REVISTA ACTUALIDAD LABORAL.</t>
  </si>
  <si>
    <t>SACAGANCHOS</t>
  </si>
  <si>
    <t>SALIDA DE ALMACEN</t>
  </si>
  <si>
    <t>SELLO DE CAUCHO</t>
  </si>
  <si>
    <t>SOBRE BLANCO CON VENTANILLA</t>
  </si>
  <si>
    <t>SOBRE BLANCO CON VENTANILLA Y MENBRETE</t>
  </si>
  <si>
    <t>SOBRE BLANCO PARA TARJETA</t>
  </si>
  <si>
    <t>SOBRE BLANCO TAMAÑO OFICIO CON MEMBRETE.</t>
  </si>
  <si>
    <t>SOBRE BLANCO TAMAÑO OFICIO.</t>
  </si>
  <si>
    <t>SOBRE DE MANILA EXTRAOFICIO</t>
  </si>
  <si>
    <t>SOBRE DE MANILA TIPO RADIOGRAFIA, DE 37 X 44 CMS.</t>
  </si>
  <si>
    <t>SOBRE LORD KIMBERLY 90</t>
  </si>
  <si>
    <t>SOBRE MANILA TAMAÑO MEDIANO</t>
  </si>
  <si>
    <t>SOBRE MANILA TAMAÑO OFICIO</t>
  </si>
  <si>
    <t>SOBRE MANILA TAMAÑO PEQUE?O</t>
  </si>
  <si>
    <t>STICKER ADHESIVO COLOR AZUL.</t>
  </si>
  <si>
    <t>STICKER ADHESIVO COLOR DORADO.</t>
  </si>
  <si>
    <t>STICKER ADHESIVO COLOR ROJO.</t>
  </si>
  <si>
    <t>STICKER ADHESIVO COLOR VERDE.</t>
  </si>
  <si>
    <t>TABLA LEGAJADORA O PLANILLERA</t>
  </si>
  <si>
    <t>TARJETA CONTROL DE EXISTENCIAS</t>
  </si>
  <si>
    <t>TARJETA INDIVIDUAL DE VIATICOS</t>
  </si>
  <si>
    <t>TARJETA KARDEX MINERVA 3014</t>
  </si>
  <si>
    <t>TARJETERO EN CARTON</t>
  </si>
  <si>
    <t>TEMPERAS 6 UNIDADES COLORES.</t>
  </si>
  <si>
    <t>TIJERA PEQUENA</t>
  </si>
  <si>
    <t>TINTA AZUL PARKER</t>
  </si>
  <si>
    <t>TINTA IMPRESORA H.P. DESKJET 970C</t>
  </si>
  <si>
    <t>TINTA NEGRA PARKER</t>
  </si>
  <si>
    <t>TINTA PARA SELLOS</t>
  </si>
  <si>
    <t>TINTA ROJA PARA PROTECTOR DE CHEQUES</t>
  </si>
  <si>
    <t>TINTA VERDE PARKER</t>
  </si>
  <si>
    <t>TONER PARA IMPRESORA C4096A</t>
  </si>
  <si>
    <t>TONER PARA IMPRESORA TEKTRONIK BLACK P/N 016 1807-01</t>
  </si>
  <si>
    <t>TONER PARA IMPRESORA TEKTRONIK MAGENTA P/N 016-1807-01</t>
  </si>
  <si>
    <t>TONER PARA IMPRESORA TEKTRONIK YELOOW P/N 016-1806-01</t>
  </si>
  <si>
    <t>TONER PARA IMPRESORA TREKTRONIK CYAN P/N 016-1804-01</t>
  </si>
  <si>
    <t>TONER PARA IMPRESORAS.</t>
  </si>
  <si>
    <t>TONER PARA MULTIFUNCIONAL BROTHER 4650</t>
  </si>
  <si>
    <t>TONER XEROX SN-17 ORIGINAL</t>
  </si>
  <si>
    <t>VINILO</t>
  </si>
  <si>
    <t>VINILO COLOR AZUL</t>
  </si>
  <si>
    <t>VOLANTES DE PAGO</t>
  </si>
  <si>
    <t>BALON AFORADO DE 1.000 ML. VOLUMETRICO CLASE A.</t>
  </si>
  <si>
    <t>BALON AFORADO DE 10 ML. VOLUMETRICO CLASE A.</t>
  </si>
  <si>
    <t>BALON AFORADO DE 100 ML. VOLUMETRICO CLASE A.</t>
  </si>
  <si>
    <t>BALON AFORADO DE 2.000 ML. VOLUMETRICO CLASE A.</t>
  </si>
  <si>
    <t>BALON AFORADO DE 25 ML. VOLUMETRICO CLASE A.</t>
  </si>
  <si>
    <t>BALON AFORADO DE 250 ML. VOLUMETRICO CLASE A.</t>
  </si>
  <si>
    <t>BALON AFORADO DE 50 ML. VOLUMETRICO CLASE A.</t>
  </si>
  <si>
    <t>BALON AFORADO DE 500 ML. VOLUMETRICO CLASE A.</t>
  </si>
  <si>
    <t>C.D BASE DE DATOS A.B.S</t>
  </si>
  <si>
    <t>CRONOMETRO DIGITAL</t>
  </si>
  <si>
    <t>FRASCO AMBAR TAPA AZUL DE 1.000 ML. PAQUETE X 6 UNDS.</t>
  </si>
  <si>
    <t>FRASCO AMBAR TAPA AZUL DE 500 ML. PAQUETE X 6 UNDS</t>
  </si>
  <si>
    <t>FRASCO TRASPARENTE TAPA AZUL DE 500 ML. PAQUETE X 6 UNDS. 002675</t>
  </si>
  <si>
    <t>LINTERNA</t>
  </si>
  <si>
    <t>LUPAS.</t>
  </si>
  <si>
    <t>MINI-EMPACADORA MANUAL</t>
  </si>
  <si>
    <t>MOLDE</t>
  </si>
  <si>
    <t>MOLDE PARA QUESOS EN ACERO INOXIDABLE</t>
  </si>
  <si>
    <t>UNIDAD DE C.D ROM Y QUEMADOR.- DIDACTICO.</t>
  </si>
  <si>
    <t>UNIDAD DE DISKETTE DE 3.5" DIDACTICO.</t>
  </si>
  <si>
    <t>UNIDAD DE DVD 14 X CON MANUAL Y CD, CABLE AUDIO,</t>
  </si>
  <si>
    <t>AMPERIMETRO DIGITAL</t>
  </si>
  <si>
    <t>BANDEJA METALICA</t>
  </si>
  <si>
    <t>BANDEJA PROTECTORA DE EVAPORADOR</t>
  </si>
  <si>
    <t>CALIBRADOR</t>
  </si>
  <si>
    <t>DISKETTE QUICK TECH PRO</t>
  </si>
  <si>
    <t>MALETA DE IDENTIFICACION DE MATERIALES PLASTICOS.</t>
  </si>
  <si>
    <t>V1</t>
  </si>
  <si>
    <t>Ricardo</t>
  </si>
  <si>
    <t>Piragua</t>
  </si>
  <si>
    <t>Cra 6 48-85</t>
  </si>
  <si>
    <t>V2</t>
  </si>
  <si>
    <t>Richard</t>
  </si>
  <si>
    <t>Trujillo</t>
  </si>
  <si>
    <t>Cll 4 96-85</t>
  </si>
  <si>
    <t>V3</t>
  </si>
  <si>
    <t>Carlos</t>
  </si>
  <si>
    <t>Lopera</t>
  </si>
  <si>
    <t>Av. Guabinal 11-78</t>
  </si>
  <si>
    <t>V4</t>
  </si>
  <si>
    <t>Renata</t>
  </si>
  <si>
    <t>Verastegui</t>
  </si>
  <si>
    <t>Cra 5 37-52</t>
  </si>
  <si>
    <t>V5</t>
  </si>
  <si>
    <t>Julian</t>
  </si>
  <si>
    <t>Calderon</t>
  </si>
  <si>
    <t>Av. Ferrocarril 96-85</t>
  </si>
  <si>
    <t>V6</t>
  </si>
  <si>
    <t>Roland</t>
  </si>
  <si>
    <t>Hawkins</t>
  </si>
  <si>
    <t>Cra 3 96-14</t>
  </si>
  <si>
    <t>V7</t>
  </si>
  <si>
    <t xml:space="preserve">Diana </t>
  </si>
  <si>
    <t>Quiroga</t>
  </si>
  <si>
    <t>Cll 15 32-10</t>
  </si>
  <si>
    <t>ANDRADE PRIETO</t>
  </si>
  <si>
    <t>Diagonal 27 No. 137 - 8</t>
  </si>
  <si>
    <t>olgavictoriaandradevaron@elempresario.net.co</t>
  </si>
  <si>
    <t>CLAUDIA MARCELA</t>
  </si>
  <si>
    <t>SIERRA CARDOZO</t>
  </si>
  <si>
    <t>Avenida 106 No. 45 - 14</t>
  </si>
  <si>
    <t>claudiamarcelasierracardozo@micorreovirtual.com</t>
  </si>
  <si>
    <t>ALVARO</t>
  </si>
  <si>
    <t>VELA ALVIS</t>
  </si>
  <si>
    <t>Avenida 89 No. 130 - 152</t>
  </si>
  <si>
    <t>alvarovelaalvis@micolombia.com.co</t>
  </si>
  <si>
    <t>ARMANDO</t>
  </si>
  <si>
    <t>USECHE AVILA</t>
  </si>
  <si>
    <t>Calle 187 No. 25 - 158</t>
  </si>
  <si>
    <t>armandousecheavila@micolombia.com.co</t>
  </si>
  <si>
    <t>CARLOS VICENTE</t>
  </si>
  <si>
    <t>TELLEZ BONILLA</t>
  </si>
  <si>
    <t>Calle 45 No. 69 - 33</t>
  </si>
  <si>
    <t>carlosvicentetellezbonilla@losingenieros.com.co</t>
  </si>
  <si>
    <t>JUAN DE DIOS</t>
  </si>
  <si>
    <t>GONGORA PALMA</t>
  </si>
  <si>
    <t>Carrera 57 No. 198 - 75</t>
  </si>
  <si>
    <t>juandediosgongorapalma@elempresario.net.co</t>
  </si>
  <si>
    <t>ALEXANDRA MILENA</t>
  </si>
  <si>
    <t>VERA ALFONSO</t>
  </si>
  <si>
    <t>Carrera 162 No. 182 - 181</t>
  </si>
  <si>
    <t>alexandramilenaveraalfonso@losingenieros.com.co</t>
  </si>
  <si>
    <t>OSCAR FABIAN</t>
  </si>
  <si>
    <t>ACOSTA VILLANUEVA</t>
  </si>
  <si>
    <t>Diagonal 41 No. 121 - 51</t>
  </si>
  <si>
    <t>oscarfabianacostavillanueva@micorreovirtual.com</t>
  </si>
  <si>
    <t>FAVIO ARMANDO</t>
  </si>
  <si>
    <t>PEREZ FRANCO</t>
  </si>
  <si>
    <t>Carrera 136 No. 111 - 72</t>
  </si>
  <si>
    <t>favioarmandoperezfranco@micorreovirtual.com</t>
  </si>
  <si>
    <t>MARIA NURY</t>
  </si>
  <si>
    <t>CAMPOS SALAZAR</t>
  </si>
  <si>
    <t>Calle 138 No. 84 - 26</t>
  </si>
  <si>
    <t>marianurycampossalazar@micolombia.com.co</t>
  </si>
  <si>
    <t>JUAN CAMILO</t>
  </si>
  <si>
    <t>GONZALEZ PAEZ</t>
  </si>
  <si>
    <t>Carrera 111 No. 183 - 70</t>
  </si>
  <si>
    <t>juancamilogonzalezpaez@losingenieros.com.co</t>
  </si>
  <si>
    <t>JUAN MANUEL</t>
  </si>
  <si>
    <t>GOMEZ PARADA</t>
  </si>
  <si>
    <t>Carrera 79 No. 43 - 155</t>
  </si>
  <si>
    <t>juanmanuelgomezparada@micorreovirtual.com</t>
  </si>
  <si>
    <t>JOSE RUBEN</t>
  </si>
  <si>
    <t>GUZMAN OVIEDO</t>
  </si>
  <si>
    <t>Calle 5 No. 63 - 10</t>
  </si>
  <si>
    <t>joserubenguzmanoviedo@miempresa.com.co</t>
  </si>
  <si>
    <t>MANUEL CESAR</t>
  </si>
  <si>
    <t>CHARRY RODRIGUEZ</t>
  </si>
  <si>
    <t>Diagonal 18 No. 4 - 90</t>
  </si>
  <si>
    <t>manuelcesarcharryrodriguez@miempresa.com.co</t>
  </si>
  <si>
    <t>CONSUELO AMALIA</t>
  </si>
  <si>
    <t>SARMIENTO CARRASCO</t>
  </si>
  <si>
    <t>Calle 128 No. 106 - 76</t>
  </si>
  <si>
    <t>consueloamaliasarmientocarrasco@miempresa.com.co</t>
  </si>
  <si>
    <t>WILMER ARLEY</t>
  </si>
  <si>
    <t>LEON MENGUAL</t>
  </si>
  <si>
    <t>Carrera 123 No. 70 - 1</t>
  </si>
  <si>
    <t>wilmerarleyleonmengual@miempresa.com.co</t>
  </si>
  <si>
    <t>NIDIA LORENA</t>
  </si>
  <si>
    <t>ARCINIEGAS TRUJILLO</t>
  </si>
  <si>
    <t>Transversal 24 No. 200 - 183</t>
  </si>
  <si>
    <t>nidialorenaarciniegastrujillo@losmedicos.com.co</t>
  </si>
  <si>
    <t>AMPARO</t>
  </si>
  <si>
    <t>VARON ARBELAEZ</t>
  </si>
  <si>
    <t>Transversal 152 No. 49 - 103</t>
  </si>
  <si>
    <t>amparovaronarbelaez@miempresa.com.co</t>
  </si>
  <si>
    <t>PEDRO JOSE</t>
  </si>
  <si>
    <t>MORENO HERRERA</t>
  </si>
  <si>
    <t>Avenida 169 No. 80 - 184</t>
  </si>
  <si>
    <t>pedrojosemorenoherrera@losmedicos.com.co</t>
  </si>
  <si>
    <t>ANDRES GEOVANNI</t>
  </si>
  <si>
    <t>VARGAS ARCE</t>
  </si>
  <si>
    <t>Calle 167 No. 29 - 109</t>
  </si>
  <si>
    <t>andresgeovannivargasarce@elempresario.net.co</t>
  </si>
  <si>
    <t>ROBERTO</t>
  </si>
  <si>
    <t>MENDOZA LAVERDE</t>
  </si>
  <si>
    <t>Calle 147 No. 46 - 4</t>
  </si>
  <si>
    <t>robertomendozalaverde@miempresa.com.co</t>
  </si>
  <si>
    <t>MARTHA LUCIA</t>
  </si>
  <si>
    <t>BONILLA SEGURA</t>
  </si>
  <si>
    <t>Avenida 14 No. 146 - 144</t>
  </si>
  <si>
    <t>marthaluciabonillasegura@losingenieros.com.co</t>
  </si>
  <si>
    <t>NESTOR IVAN</t>
  </si>
  <si>
    <t>ARDILA TRONCOSO</t>
  </si>
  <si>
    <t>Carrera 40 No. 97 - 70</t>
  </si>
  <si>
    <t>nestorivanardilatroncoso@losmedicos.com.co</t>
  </si>
  <si>
    <t>MYRIAM JANETH</t>
  </si>
  <si>
    <t>AROCA TOQUICA</t>
  </si>
  <si>
    <t>Carrera 84 No. 16 - 140</t>
  </si>
  <si>
    <t>myriamjanetharocatoquica@miempresa.com.co</t>
  </si>
  <si>
    <t>BLANCA EMMA</t>
  </si>
  <si>
    <t>URBANO BARRERO</t>
  </si>
  <si>
    <t>Avenida 172 No. 36 - 109</t>
  </si>
  <si>
    <t>blancaemmaurbanobarrero@miempresa.com.co</t>
  </si>
  <si>
    <t>DIANA PATRICIA</t>
  </si>
  <si>
    <t>RODRIGUEZ CONTRERAS</t>
  </si>
  <si>
    <t>Calle 140 No. 106 - 200</t>
  </si>
  <si>
    <t>dianapatriciarodriguezcontreras@losingenieros.com.co</t>
  </si>
  <si>
    <t>ALVARO ENRIQUE</t>
  </si>
  <si>
    <t>VEGA ALZATE</t>
  </si>
  <si>
    <t>Calle 129 No. 119 - 91</t>
  </si>
  <si>
    <t>alvaroenriquevegaalzate@micorreovirtual.com</t>
  </si>
  <si>
    <t>MYRIAM</t>
  </si>
  <si>
    <t>AVENDAÑO TAPIERO</t>
  </si>
  <si>
    <t>Calle 164 No. 145 - 174</t>
  </si>
  <si>
    <t>myriamavendañotapiero@miempresa.com.co</t>
  </si>
  <si>
    <t>XIOMARA ANDREA</t>
  </si>
  <si>
    <t>LEGUIZAMO MIRANDA</t>
  </si>
  <si>
    <t>Transversal 200 No. 22 - 55</t>
  </si>
  <si>
    <t>xiomaraandrealeguizamomiranda@micorreovirtual.com</t>
  </si>
  <si>
    <t>OSCAR</t>
  </si>
  <si>
    <t>ALDANA VIDAL</t>
  </si>
  <si>
    <t>Calle 74 No. 128 - 152</t>
  </si>
  <si>
    <t>oscaraldanavidal@losingenieros.com.co</t>
  </si>
  <si>
    <t>OSCAR JULIAN</t>
  </si>
  <si>
    <t>PARRA GONZALEZ</t>
  </si>
  <si>
    <t>Transversal 89 No. 57 - 2</t>
  </si>
  <si>
    <t>oscarjulianparragonzalez@elempresario.net.co</t>
  </si>
  <si>
    <t>FRANCISCO JAVIER</t>
  </si>
  <si>
    <t>PEÑA GODOY</t>
  </si>
  <si>
    <t>Calle 114 No. 45 - 138</t>
  </si>
  <si>
    <t>franciscojavierpeñagodoy@losmedicos.com.co</t>
  </si>
  <si>
    <t>SENA</t>
  </si>
  <si>
    <t>LUIS MACHADO</t>
  </si>
  <si>
    <t>Avenida 124 No. 1 - 123</t>
  </si>
  <si>
    <t>senaluismachado@micorreovirtual.com</t>
  </si>
  <si>
    <t>PAULA ANDREA</t>
  </si>
  <si>
    <t>NIETO HERNANDEZ</t>
  </si>
  <si>
    <t>Carrera 158 No. 155 - 103</t>
  </si>
  <si>
    <t>paulaandreanietohernandez@micolombia.com.co</t>
  </si>
  <si>
    <t>CONSUELO LEONOR</t>
  </si>
  <si>
    <t>SANCHEZ CASTAÑEDA</t>
  </si>
  <si>
    <t>Carrera 138 No. 135 - 171</t>
  </si>
  <si>
    <t>consueloleonorsanchezcastañeda@micolombia.com.co</t>
  </si>
  <si>
    <t>CARMEN</t>
  </si>
  <si>
    <t>TAPIA CAMPO</t>
  </si>
  <si>
    <t>Carrera 47 No. 86 - 143</t>
  </si>
  <si>
    <t>carmentapiacampo@losmedicos.com.co</t>
  </si>
  <si>
    <t>ANGELA ROSA</t>
  </si>
  <si>
    <t>VANEGAS ARTEAGA</t>
  </si>
  <si>
    <t>Calle 124 No. 3 - 37</t>
  </si>
  <si>
    <t>angelarosavanegasarteaga@micolombia.com.co</t>
  </si>
  <si>
    <t>RICARDO MAURICIO</t>
  </si>
  <si>
    <t>MENESES LASTRA</t>
  </si>
  <si>
    <t>Avenida 130 No. 72 - 65</t>
  </si>
  <si>
    <t>ricardomauriciomeneseslastra@losmedicos.com.co</t>
  </si>
  <si>
    <t>LINDA ROCIO</t>
  </si>
  <si>
    <t>GALEANO PUERTA</t>
  </si>
  <si>
    <t>Carrera 22 No. 14 - 138</t>
  </si>
  <si>
    <t>lindarociogaleanopuerta@elempresario.net.co</t>
  </si>
  <si>
    <t xml:space="preserve">LUIS YADIR </t>
  </si>
  <si>
    <t>CUELLAR REINA</t>
  </si>
  <si>
    <t>Calle 7 No. 71 - 191</t>
  </si>
  <si>
    <t>luisyadircuellarreina@micolombia.com.co</t>
  </si>
  <si>
    <t>CARLOS HUGO</t>
  </si>
  <si>
    <t>TORRES BOCANEGRA</t>
  </si>
  <si>
    <t>Carrera 197 No. 135 - 199</t>
  </si>
  <si>
    <t>carloshugotorresbocanegra@miempresa.com.co</t>
  </si>
  <si>
    <t>JUSTO</t>
  </si>
  <si>
    <t>GARCIA PINZON</t>
  </si>
  <si>
    <t>Calle 44 No. 126 - 126</t>
  </si>
  <si>
    <t>justogarciapinzon@miempresa.com.co</t>
  </si>
  <si>
    <t>ALVARO ERNESTO</t>
  </si>
  <si>
    <t>VASQUEZ ARANZALEZ</t>
  </si>
  <si>
    <t>Calle 18 No. 70 - 199</t>
  </si>
  <si>
    <t>alvaroernestovasquezaranzalez@losmedicos.com.co</t>
  </si>
  <si>
    <t>DAGGER</t>
  </si>
  <si>
    <t>SALDAÑA CASTILLO</t>
  </si>
  <si>
    <t>Transversal 64 No. 49 - 7</t>
  </si>
  <si>
    <t>daggersaldañacastillo@miempresa.com.co</t>
  </si>
  <si>
    <t>RICARDO</t>
  </si>
  <si>
    <t>MOLINA LANDAZABAL</t>
  </si>
  <si>
    <t>Carrera 106 No. 168 - 83</t>
  </si>
  <si>
    <t>ricardomolinalandazabal@micorreovirtual.com</t>
  </si>
  <si>
    <t>ALBERTO FEDERICO</t>
  </si>
  <si>
    <t>VILLARRAGA AGUIAR</t>
  </si>
  <si>
    <t>Transversal 113 No. 14 - 9</t>
  </si>
  <si>
    <t>albertofedericovillarragaaguiar@miempresa.com.co</t>
  </si>
  <si>
    <t>CLAUDIA LILIANA</t>
  </si>
  <si>
    <t>SOTO CARDEÑO</t>
  </si>
  <si>
    <t>Avenida 148 No. 120 - 66</t>
  </si>
  <si>
    <t>claudialilianasotocardeño@micorreovirtual.com</t>
  </si>
  <si>
    <t>FRANCISCO ANTONIO</t>
  </si>
  <si>
    <t>PEÑALOZA GARCIA</t>
  </si>
  <si>
    <t>Calle 3 No. 53 - 200</t>
  </si>
  <si>
    <t>franciscoantoniopeñalozagarcia@losingenieros.com.co</t>
  </si>
  <si>
    <t>DORA TERESA</t>
  </si>
  <si>
    <t>REYES DIAZ</t>
  </si>
  <si>
    <t>Calle 190 No. 186 - 190</t>
  </si>
  <si>
    <t>dorateresareyesdiaz@micolombia.com.co</t>
  </si>
  <si>
    <t>MARIA DERLY</t>
  </si>
  <si>
    <t>CASTAÑO RUEDA</t>
  </si>
  <si>
    <t>Diagonal 96 No. 25 - 127</t>
  </si>
  <si>
    <t>mariaderlycastañorueda@losmedicos.com.co</t>
  </si>
  <si>
    <t>ELBER ALEXANDER</t>
  </si>
  <si>
    <t>QUIMBAYO ESPITIA</t>
  </si>
  <si>
    <t>Avenida 57 No. 81 - 5</t>
  </si>
  <si>
    <t>elberalexanderquimbayoespitia@miempresa.com.co</t>
  </si>
  <si>
    <t xml:space="preserve">EDGAR </t>
  </si>
  <si>
    <t>RAMOS DURAN</t>
  </si>
  <si>
    <t>Calle 42 No. 50 - 93</t>
  </si>
  <si>
    <t>edgarramosduran@elempresario.net.co</t>
  </si>
  <si>
    <t>SANDRA YANETH</t>
  </si>
  <si>
    <t>MALAVER LUGO</t>
  </si>
  <si>
    <t>Calle 102 No. 83 - 75</t>
  </si>
  <si>
    <t>sandrayanethmalaverlugo@miempresa.com.co</t>
  </si>
  <si>
    <t>MAYIBE</t>
  </si>
  <si>
    <t>BERRIO SIERRA</t>
  </si>
  <si>
    <t>Calle 108 No. 154 - 132</t>
  </si>
  <si>
    <t>mayibeberriosierra@elempresario.net.co</t>
  </si>
  <si>
    <t>MAGDALENA</t>
  </si>
  <si>
    <t>CLEVES RINCON</t>
  </si>
  <si>
    <t>Carrera 24 No. 174 - 151</t>
  </si>
  <si>
    <t>magdalenaclevesrincon@losingenieros.com.co</t>
  </si>
  <si>
    <t>DIANA MARCELA</t>
  </si>
  <si>
    <t>ROMERO COGARIA</t>
  </si>
  <si>
    <t>Avenida 105 No. 1 - 73</t>
  </si>
  <si>
    <t>dianamarcelaromerocogaria@micorreovirtual.com</t>
  </si>
  <si>
    <t>LUIS ARMIN</t>
  </si>
  <si>
    <t>DUARTE RAMÍREZ</t>
  </si>
  <si>
    <t>Diagonal 131 No. 8 - 29</t>
  </si>
  <si>
    <t>luisarminduarteramírez@micorreovirtual.com</t>
  </si>
  <si>
    <t>PAOLA MAYEDLY</t>
  </si>
  <si>
    <t>OCAMPO HERMIDA</t>
  </si>
  <si>
    <t>Transversal 16 No. 192 - 169</t>
  </si>
  <si>
    <t>paolamayedlyocampohermida@elempresario.net.co</t>
  </si>
  <si>
    <t>OLGA ROCIO</t>
  </si>
  <si>
    <t>ANGARITA VANEGAS</t>
  </si>
  <si>
    <t>Avenida 184 No. 124 - 111</t>
  </si>
  <si>
    <t>olgarocioangaritavanegas@micorreovirtual.com</t>
  </si>
  <si>
    <t>MARLON</t>
  </si>
  <si>
    <t>BUITRAGO SARMIENTO</t>
  </si>
  <si>
    <t>Calle 69 No. 147 - 13</t>
  </si>
  <si>
    <t>marlonbuitragosarmiento@elempresario.net.co</t>
  </si>
  <si>
    <t xml:space="preserve">ELVER </t>
  </si>
  <si>
    <t>PRADA FARKAS</t>
  </si>
  <si>
    <t>Calle 123 No. 127 - 56</t>
  </si>
  <si>
    <t>elverpradafarkas@losingenieros.com.co</t>
  </si>
  <si>
    <t>DANIEL ADOLFO</t>
  </si>
  <si>
    <t>RUGELES CELIS</t>
  </si>
  <si>
    <t>Transversal 129 No. 135 - 196</t>
  </si>
  <si>
    <t>danieladolforugelescelis@elempresario.net.co</t>
  </si>
  <si>
    <t>PLACIDO</t>
  </si>
  <si>
    <t>MORALES HOYOS</t>
  </si>
  <si>
    <t>Calle 188 No. 88 - 115</t>
  </si>
  <si>
    <t>placidomoraleshoyos@micorreovirtual.com</t>
  </si>
  <si>
    <t>YAMIT RODRIGUEZ</t>
  </si>
  <si>
    <t>JUTINICO MOLANO</t>
  </si>
  <si>
    <t>Calle 106 No. 7 - 192</t>
  </si>
  <si>
    <t>yamitrodriguezjutinicomolano@elempresario.net.co</t>
  </si>
  <si>
    <t>SANDRA MILENA</t>
  </si>
  <si>
    <t>MARULANDA LOPERA</t>
  </si>
  <si>
    <t>Avenida 79 No. 12 - 89</t>
  </si>
  <si>
    <t>sandramilenamarulandalopera@losmedicos.com.co</t>
  </si>
  <si>
    <t>MARIA EUGENIA</t>
  </si>
  <si>
    <t>CARVAJAL RUIZ</t>
  </si>
  <si>
    <t>Diagonal 2 No. 46 - 19</t>
  </si>
  <si>
    <t>mariaeugeniacarvajalruiz@micolombia.com.co</t>
  </si>
  <si>
    <t>NESTOR ALVARO</t>
  </si>
  <si>
    <t>ARIZA TORO</t>
  </si>
  <si>
    <t>Carrera 125 No. 57 - 20</t>
  </si>
  <si>
    <t>nestoralvaroarizatoro@losingenieros.com.co</t>
  </si>
  <si>
    <t>YEIMMY MARITZA</t>
  </si>
  <si>
    <t>JUNCO MOLINA</t>
  </si>
  <si>
    <t>Calle 140 No. 19 - 168</t>
  </si>
  <si>
    <t>yeimmymaritzajuncomolina@losingenieros.com.co</t>
  </si>
  <si>
    <t>ALEJANDRA DEL PILAR</t>
  </si>
  <si>
    <t>VILLA AGUILAR</t>
  </si>
  <si>
    <t>Calle 108 No. 123 - 84</t>
  </si>
  <si>
    <t>alejandradelpilarvillaaguilar@miempresa.com.co</t>
  </si>
  <si>
    <t xml:space="preserve">JOSE NOEL </t>
  </si>
  <si>
    <t>HERRERA ORTIZ</t>
  </si>
  <si>
    <t>Transversal 60 No. 84 - 16</t>
  </si>
  <si>
    <t>josenoelherreraortiz@elempresario.net.co</t>
  </si>
  <si>
    <t>DANIEL</t>
  </si>
  <si>
    <t>SAAVEDRA CASTRO</t>
  </si>
  <si>
    <t>Avenida 112 No. 175 - 135</t>
  </si>
  <si>
    <t>danielsaavedracastro@losingenieros.com.co</t>
  </si>
  <si>
    <t>FERNANDO ERNESTO</t>
  </si>
  <si>
    <t>PERALTA GAMBA</t>
  </si>
  <si>
    <t>Transversal 148 No. 11 - 41</t>
  </si>
  <si>
    <t>fernandoernestoperaltagamba@micorreovirtual.com</t>
  </si>
  <si>
    <t>VICTOR HUGO</t>
  </si>
  <si>
    <t>LOPEZ MEJIA</t>
  </si>
  <si>
    <t>Avenida 68 No. 15 - 156</t>
  </si>
  <si>
    <t>victorhugolopezmejia@losingenieros.com.co</t>
  </si>
  <si>
    <t xml:space="preserve">ORLANDO </t>
  </si>
  <si>
    <t>ALMANZA VERA</t>
  </si>
  <si>
    <t>Calle 106 No. 157 - 63</t>
  </si>
  <si>
    <t>orlandoalmanzavera@miempresa.com.co</t>
  </si>
  <si>
    <t>JOSE NELSON</t>
  </si>
  <si>
    <t>HOYOS OLAYA</t>
  </si>
  <si>
    <t>Transversal 77 No. 136 - 147</t>
  </si>
  <si>
    <t>josenelsonhoyosolaya@micolombia.com.co</t>
  </si>
  <si>
    <t>ORLANDO</t>
  </si>
  <si>
    <t>ALVAREZ VELASQUEZ</t>
  </si>
  <si>
    <t>Diagonal 30 No. 46 - 194</t>
  </si>
  <si>
    <t>orlandoalvarezvelasquez@elempresario.net.co</t>
  </si>
  <si>
    <t>FELIX EDUARDO</t>
  </si>
  <si>
    <t>PERDOMO GALLARDO</t>
  </si>
  <si>
    <t>Carrera 15 No. 88 - 81</t>
  </si>
  <si>
    <t>felixeduardoperdomogallardo@miempresa.com.co</t>
  </si>
  <si>
    <t>COORPORACIÓN MACONDO</t>
  </si>
  <si>
    <t>SANABRIA CASTELLANOS</t>
  </si>
  <si>
    <t>Transversal 12 No. 42 - 172</t>
  </si>
  <si>
    <t>coorporaciónmacondosanabriacastellanos@micolombia.com.co</t>
  </si>
  <si>
    <t>MENDEZ LEMUS</t>
  </si>
  <si>
    <t>Diagonal 21 No. 178 - 112</t>
  </si>
  <si>
    <t>robertomendezlemus@micolombia.com.co</t>
  </si>
  <si>
    <t xml:space="preserve">JOSE RUTBEL </t>
  </si>
  <si>
    <t>GUTIERREZ PACHON</t>
  </si>
  <si>
    <t>Carrera 10 No. 135 - 74</t>
  </si>
  <si>
    <t>joserutbelgutierrezpachon@miempresa.com.co</t>
  </si>
  <si>
    <t xml:space="preserve">SOL MYRIAM </t>
  </si>
  <si>
    <t>LOZADA MEDINA</t>
  </si>
  <si>
    <t>Calle 30 No. 189 - 35</t>
  </si>
  <si>
    <t>solmyriamlozadamedina@miempresa.com.co</t>
  </si>
  <si>
    <t xml:space="preserve">ANGELA </t>
  </si>
  <si>
    <t>VARELA AREVALO</t>
  </si>
  <si>
    <t>Diagonal 27 No. 173 - 60</t>
  </si>
  <si>
    <t>angelavarelaarevalo@elempresario.net.co</t>
  </si>
  <si>
    <t>MIGUEL ANGEL</t>
  </si>
  <si>
    <t>BARRERO SOTO</t>
  </si>
  <si>
    <t>Transversal 196 No. 174 - 173</t>
  </si>
  <si>
    <t>miguelangelbarrerosoto@micorreovirtual.com</t>
  </si>
  <si>
    <t>LUZ ELENA</t>
  </si>
  <si>
    <t>CUAN RENGIFO</t>
  </si>
  <si>
    <t>Diagonal 112 No. 34 - 143</t>
  </si>
  <si>
    <t>luzelenacuanrengifo@miempresa.com.co</t>
  </si>
  <si>
    <t>RENE</t>
  </si>
  <si>
    <t>MONROY JARAMILLO</t>
  </si>
  <si>
    <t>Diagonal 161 No. 143 - 94</t>
  </si>
  <si>
    <t>renemonroyjaramillo@losmedicos.com.co</t>
  </si>
  <si>
    <t>ELIANA MARCELA</t>
  </si>
  <si>
    <t>PRIETO FALLA</t>
  </si>
  <si>
    <t>Calle 114 No. 39 - 143</t>
  </si>
  <si>
    <t>elianamarcelaprietofalla@losmedicos.com.co</t>
  </si>
  <si>
    <t>MARTHA ROCIO</t>
  </si>
  <si>
    <t>BOLIVAR SERRANO</t>
  </si>
  <si>
    <t>Avenida 109 No. 56 - 105</t>
  </si>
  <si>
    <t>martharociobolivarserrano@micorreovirtual.com</t>
  </si>
  <si>
    <t>WILLIAM HUMBERTO</t>
  </si>
  <si>
    <t>LOMBANA MENDEZ</t>
  </si>
  <si>
    <t>Transversal 97 No. 134 - 199</t>
  </si>
  <si>
    <t>williamhumbertolombanamendez@micolombia.com.co</t>
  </si>
  <si>
    <t xml:space="preserve">PAOLA ANDREA </t>
  </si>
  <si>
    <t>OLAYA HENAO</t>
  </si>
  <si>
    <t>Carrera 113 No. 128 - 85</t>
  </si>
  <si>
    <t>paolaandreaolayahenao@losingenieros.com.co</t>
  </si>
  <si>
    <t xml:space="preserve">EDUARDO </t>
  </si>
  <si>
    <t>RAMIREZ ECHEVERRY</t>
  </si>
  <si>
    <t>Diagonal 115 No. 39 - 183</t>
  </si>
  <si>
    <t>eduardoramirezecheverry@elempresario.net.co</t>
  </si>
  <si>
    <t>CESAR AUGUSTO</t>
  </si>
  <si>
    <t>STEFEN CARDENAS</t>
  </si>
  <si>
    <t>Avenida 51 No. 127 - 132</t>
  </si>
  <si>
    <t>cesaraugustostefencardenas@miempresa.com.co</t>
  </si>
  <si>
    <t>JOSE ISRAEL</t>
  </si>
  <si>
    <t>IDROBO MORENO</t>
  </si>
  <si>
    <t>Transversal 196 No. 121 - 183</t>
  </si>
  <si>
    <t>joseisraelidrobomoreno@micorreovirtual.com</t>
  </si>
  <si>
    <t>AURA ESPERANZA</t>
  </si>
  <si>
    <t>URUENA BARBOSA</t>
  </si>
  <si>
    <t>Carrera 74 No. 6 - 87</t>
  </si>
  <si>
    <t>auraesperanzauruenabarbosa@micolombia.com.co</t>
  </si>
  <si>
    <t>DIANA CAROLINA</t>
  </si>
  <si>
    <t>RUBIO CERVERA</t>
  </si>
  <si>
    <t>Avenida 59 No. 36 - 184</t>
  </si>
  <si>
    <t>dianacarolinarubiocervera@losingenieros.com.co</t>
  </si>
  <si>
    <t>ADOLFO</t>
  </si>
  <si>
    <t>ZABALA ACEVEDO</t>
  </si>
  <si>
    <t>Calle 142 No. 33 - 59</t>
  </si>
  <si>
    <t>adolfozabalaacevedo@micolombia.com.co</t>
  </si>
  <si>
    <t>OTTO</t>
  </si>
  <si>
    <t>PALMA GRATTZ</t>
  </si>
  <si>
    <t>Calle 50 No. 144 - 127</t>
  </si>
  <si>
    <t>ottopalmagrattz@losmedicos.com.co</t>
  </si>
  <si>
    <t>JOSE MANUEL RAMIRO</t>
  </si>
  <si>
    <t>HUERTAS NEUSA</t>
  </si>
  <si>
    <t>Carrera 85 No. 180 - 46</t>
  </si>
  <si>
    <t>josemanuelramirohuertasneusa@micorreovirtual.com</t>
  </si>
  <si>
    <t>JOSE ISIDORO</t>
  </si>
  <si>
    <t>JARAMILLO MORALES</t>
  </si>
  <si>
    <t>Calle 148 No. 171 - 107</t>
  </si>
  <si>
    <t>joseisidorojaramillomorales@micorreovirtual.com</t>
  </si>
  <si>
    <t>JOSE HUMBERTO</t>
  </si>
  <si>
    <t>JIMENEZ MONTENEGRO</t>
  </si>
  <si>
    <t>Transversal 80 No. 89 - 49</t>
  </si>
  <si>
    <t>josehumbertojimenezmontenegro@miempresa.com.co</t>
  </si>
  <si>
    <t>JOSE OSDWARD</t>
  </si>
  <si>
    <t>HERNANDEZ OSORIO</t>
  </si>
  <si>
    <t>Diagonal 5 No. 71 - 118</t>
  </si>
  <si>
    <t>joseosdwardhernandezosorio@micorreovirtual.com</t>
  </si>
  <si>
    <t>RAFAEL HUMBERTO</t>
  </si>
  <si>
    <t>MONTEALEGRE JAIME</t>
  </si>
  <si>
    <t>Calle 56 No. 124 - 26</t>
  </si>
  <si>
    <t>rafaelhumbertomontealegrejaime@losmedicos.com.co</t>
  </si>
  <si>
    <t>CESAR ANDREY</t>
  </si>
  <si>
    <t>SUAREZ CARC</t>
  </si>
  <si>
    <t>Transversal 90 No. 5 - 35</t>
  </si>
  <si>
    <t>cesarandreysuarezcarc@losmedicos.com.co</t>
  </si>
  <si>
    <t xml:space="preserve">SANDRA PATRICIA </t>
  </si>
  <si>
    <t>MARTINEZ LOPEZ</t>
  </si>
  <si>
    <t>Calle 154 No. 181 - 148</t>
  </si>
  <si>
    <t>sandrapatriciamartinezlopez@losingenieros.com.co</t>
  </si>
  <si>
    <t>LIBIA JANETH</t>
  </si>
  <si>
    <t>GALINDO PUENTES</t>
  </si>
  <si>
    <t>Calle 143 No. 12 - 74</t>
  </si>
  <si>
    <t>libiajanethgalindopuentes@losmedicos.com.co</t>
  </si>
  <si>
    <t>MARIA CRISTINA</t>
  </si>
  <si>
    <t>CAYCEDO ROMERO</t>
  </si>
  <si>
    <t>Transversal 15 No. 186 - 5</t>
  </si>
  <si>
    <t>mariacristinacaycedoromero@elempresario.net.co</t>
  </si>
  <si>
    <t>EDUARDO ALFONSO</t>
  </si>
  <si>
    <t>QUINTERO ESCANDON</t>
  </si>
  <si>
    <t>Diagonal 89 No. 169 - 132</t>
  </si>
  <si>
    <t>eduardoalfonsoquinteroescandon@elempresario.net.co</t>
  </si>
  <si>
    <t>LORENA DEL PILAR</t>
  </si>
  <si>
    <t>FRANCO QUIJANO</t>
  </si>
  <si>
    <t>Calle 173 No. 9 - 74</t>
  </si>
  <si>
    <t>lorenadelpilarfrancoquijano@elempresario.net.co</t>
  </si>
  <si>
    <t>CAMPO LEONEL</t>
  </si>
  <si>
    <t>TRUJILLO BARRIOS</t>
  </si>
  <si>
    <t>Avenida 94 No. 163 - 24</t>
  </si>
  <si>
    <t>campoleoneltrujillobarrios@losingenieros.com.co</t>
  </si>
  <si>
    <t>OLGA LUCIA</t>
  </si>
  <si>
    <t>ARANGO VALERO</t>
  </si>
  <si>
    <t>Transversal 108 No. 42 - 191</t>
  </si>
  <si>
    <t>olgaluciaarangovalero@elempresario.net.co</t>
  </si>
  <si>
    <t>JOSÉ RAMIRO</t>
  </si>
  <si>
    <t>HENAO OSPINA</t>
  </si>
  <si>
    <t>Calle 46 No. 187 - 68</t>
  </si>
  <si>
    <t>joséramirohenaoospina@elempresario.net.co</t>
  </si>
  <si>
    <t>EDWARD GUSTAVO</t>
  </si>
  <si>
    <t>QUINTANA ESCOBAR</t>
  </si>
  <si>
    <t>Calle 32 No. 47 - 151</t>
  </si>
  <si>
    <t>edwardgustavoquintanaescobar@micolombia.com.co</t>
  </si>
  <si>
    <t>PAOLA ANDREA</t>
  </si>
  <si>
    <t>OROZCO GUZMAN</t>
  </si>
  <si>
    <t>Carrera 27 No. 151 - 188</t>
  </si>
  <si>
    <t>paolaandreaorozcoguzman@micolombia.com.co</t>
  </si>
  <si>
    <t>JUAN PABLO</t>
  </si>
  <si>
    <t>GIRON PEÑA</t>
  </si>
  <si>
    <t>Avenida 14 No. 142 - 24</t>
  </si>
  <si>
    <t>juanpablogironpeña@losingenieros.com.co</t>
  </si>
  <si>
    <t>MARIA HELENA</t>
  </si>
  <si>
    <t>CANON SAAVEDRA</t>
  </si>
  <si>
    <t>Avenida 19 No. 182 - 34</t>
  </si>
  <si>
    <t>mariahelenacanonsaavedra@elempresario.net.co</t>
  </si>
  <si>
    <t>LEONARDO</t>
  </si>
  <si>
    <t>GALVIS PRADO</t>
  </si>
  <si>
    <t>Avenida 32 No. 63 - 133</t>
  </si>
  <si>
    <t>leonardogalvisprado@micorreovirtual.com</t>
  </si>
  <si>
    <t>MARIO WILLIAM</t>
  </si>
  <si>
    <t>CAMELO SALGUERO</t>
  </si>
  <si>
    <t>Transversal 120 No. 63 - 166</t>
  </si>
  <si>
    <t>mariowilliamcamelosalguero@losingenieros.com.co</t>
  </si>
  <si>
    <t>CARLOS IVAN</t>
  </si>
  <si>
    <t>TIQUE BOHORQUEZ</t>
  </si>
  <si>
    <t>Carrera 86 No. 132 - 131</t>
  </si>
  <si>
    <t>carlosivantiquebohorquez@losmedicos.com.co</t>
  </si>
  <si>
    <t>CARLOS ANDRES</t>
  </si>
  <si>
    <t>TRIANA BELTRAN</t>
  </si>
  <si>
    <t>Avenida 132 No. 87 - 7</t>
  </si>
  <si>
    <t>carlosandrestrianabeltran@losmedicos.com.co</t>
  </si>
  <si>
    <t>MARIA HERMILA</t>
  </si>
  <si>
    <t>CANAL SAENZ</t>
  </si>
  <si>
    <t>Carrera 13 No. 194 - 200</t>
  </si>
  <si>
    <t>mariahermilacanalsaenz@micorreovirtual.com</t>
  </si>
  <si>
    <t>JOSE LIBARDO</t>
  </si>
  <si>
    <t>IBAÑEZ NAVARRO</t>
  </si>
  <si>
    <t>Avenida 47 No. 103 - 17</t>
  </si>
  <si>
    <t>joselibardoibañeznavarro@micolombia.com.co</t>
  </si>
  <si>
    <t>DIANA YURLEY</t>
  </si>
  <si>
    <t>RIOS CRUZ</t>
  </si>
  <si>
    <t>Calle 182 No. 113 - 144</t>
  </si>
  <si>
    <t>dianayurleyrioscruz@micolombia.com.co</t>
  </si>
  <si>
    <t>LUIS ALBERTO</t>
  </si>
  <si>
    <t>ESPINOSA QUIÑONES</t>
  </si>
  <si>
    <t>Diagonal 69 No. 58 - 148</t>
  </si>
  <si>
    <t>luisalbertoespinosaquiñones@losingenieros.com.co</t>
  </si>
  <si>
    <t>PABLO ALEJANDRO</t>
  </si>
  <si>
    <t>ORTIZ GUTIERREZ</t>
  </si>
  <si>
    <t>Transversal 139 No. 167 - 130</t>
  </si>
  <si>
    <t>pabloalejandroortizgutierrez@elempresario.net.co</t>
  </si>
  <si>
    <t>QUERUBIN</t>
  </si>
  <si>
    <t>MORA IDARRAGA</t>
  </si>
  <si>
    <t>Calle 119 No. 182 - 136</t>
  </si>
  <si>
    <t>querubinmoraidarraga@micorreovirtual.com</t>
  </si>
  <si>
    <t xml:space="preserve">MAGDA LILIANA </t>
  </si>
  <si>
    <t>CRUZ REYES</t>
  </si>
  <si>
    <t>Carrera 127 No. 24 - 91</t>
  </si>
  <si>
    <t>magdalilianacruzreyes@losmedicos.com.co</t>
  </si>
  <si>
    <t>LUIS FERNANDO</t>
  </si>
  <si>
    <t>DIAZ RANGEL</t>
  </si>
  <si>
    <t>Carrera 158 No. 25 - 74</t>
  </si>
  <si>
    <t>luisfernandodiazrangel@micorreovirtual.com</t>
  </si>
  <si>
    <t>LEIDY YAZMIN</t>
  </si>
  <si>
    <t>GAMBOA POSADA</t>
  </si>
  <si>
    <t>Transversal 98 No. 20 - 57</t>
  </si>
  <si>
    <t>leidyyazmingamboaposada@miempresa.com.co</t>
  </si>
  <si>
    <t>OVER ANGELO</t>
  </si>
  <si>
    <t>OSPINA GUARÍN</t>
  </si>
  <si>
    <t>Avenida 54 No. 79 - 21</t>
  </si>
  <si>
    <t>overangeloospinaguarín@losmedicos.com.co</t>
  </si>
  <si>
    <t xml:space="preserve">MALEY CAROLINA </t>
  </si>
  <si>
    <t>CIFUENTES ROBLES</t>
  </si>
  <si>
    <t>Diagonal 14 No. 162 - 138</t>
  </si>
  <si>
    <t>maleycarolinacifuentesrobles@losingenieros.com.co</t>
  </si>
  <si>
    <t>ADRIANA</t>
  </si>
  <si>
    <t>WILCHEZ ACOSTA</t>
  </si>
  <si>
    <t>Avenida 200 No. 84 - 46</t>
  </si>
  <si>
    <t>adrianawilchezacosta@micorreovirtual.com</t>
  </si>
  <si>
    <t>DIANA MARIA</t>
  </si>
  <si>
    <t>ROJAS COLMENARES</t>
  </si>
  <si>
    <t>Calle 7 No. 68 - 91</t>
  </si>
  <si>
    <t>dianamariarojascolmenares@losmedicos.com.co</t>
  </si>
  <si>
    <t>NUBIA</t>
  </si>
  <si>
    <t>ARBELAEZ URUEÑA</t>
  </si>
  <si>
    <t>Avenida 188 No. 1 - 92</t>
  </si>
  <si>
    <t>nubiaarbelaezurueña@losingenieros.com.co</t>
  </si>
  <si>
    <t>MARITZA</t>
  </si>
  <si>
    <t>CALDERON SANCHEZ</t>
  </si>
  <si>
    <t>Carrera 153 No. 43 - 148</t>
  </si>
  <si>
    <t>maritzacalderonsanchez@micorreovirtual.com</t>
  </si>
  <si>
    <t>ROMMEL NELSON</t>
  </si>
  <si>
    <t>MELO LEÓN</t>
  </si>
  <si>
    <t>Diagonal 179 No. 29 - 128</t>
  </si>
  <si>
    <t>rommelnelsonmeloleón@micolombia.com.co</t>
  </si>
  <si>
    <t>NESTOR HERNANDO</t>
  </si>
  <si>
    <t>ARIAS TORRES</t>
  </si>
  <si>
    <t>Transversal 103 No. 127 - 63</t>
  </si>
  <si>
    <t>nestorhernandoariastorres@losingenieros.com.co</t>
  </si>
  <si>
    <t>OSCAR JAVIER</t>
  </si>
  <si>
    <t>PAZ GOMEZ</t>
  </si>
  <si>
    <t>Carrera 6 No. 22 - 145</t>
  </si>
  <si>
    <t>oscarjavierpazgomez@elempresario.net.co</t>
  </si>
  <si>
    <t>MARCOLINI</t>
  </si>
  <si>
    <t>CELIS ROJAS</t>
  </si>
  <si>
    <t>Avenida 108 No. 100 - 19</t>
  </si>
  <si>
    <t>marcolinicelisrojas@losingenieros.com.co</t>
  </si>
  <si>
    <t>LUIS ALFONSO</t>
  </si>
  <si>
    <t>ENCISO RAMIREZ</t>
  </si>
  <si>
    <t>Avenida 128 No. 190 - 67</t>
  </si>
  <si>
    <t>luisalfonsoencisoramirez@micorreovirtual.com</t>
  </si>
  <si>
    <t>MEDARDO GERSON</t>
  </si>
  <si>
    <t>BARRIOS SILVA</t>
  </si>
  <si>
    <t>Carrera 129 No. 79 - 173</t>
  </si>
  <si>
    <t>medardogersonbarriossilva@losingenieros.com.co</t>
  </si>
  <si>
    <t>YULY PAOLA</t>
  </si>
  <si>
    <t>JUANIA MONJE</t>
  </si>
  <si>
    <t>Carrera 49 No. 16 - 184</t>
  </si>
  <si>
    <t>yulypaolajuaniamonje@elempresario.net.co</t>
  </si>
  <si>
    <t>MARIA DEL ROCIO</t>
  </si>
  <si>
    <t>CASTRO RUBIO</t>
  </si>
  <si>
    <t>Carrera 11 No. 197 - 100</t>
  </si>
  <si>
    <t>mariadelrociocastrorubio@losmedicos.com.co</t>
  </si>
  <si>
    <t>FABERTH HUMBERTO</t>
  </si>
  <si>
    <t>PINEDA FORERO</t>
  </si>
  <si>
    <t>Diagonal 80 No. 161 - 165</t>
  </si>
  <si>
    <t>faberthhumbertopinedaforero@losingenieros.com.co</t>
  </si>
  <si>
    <t>SANDRA CONSUELO</t>
  </si>
  <si>
    <t>MEDINA LOMBANA</t>
  </si>
  <si>
    <t>Avenida 58 No. 130 - 101</t>
  </si>
  <si>
    <t>sandraconsuelomedinalombana@losingenieros.com.co</t>
  </si>
  <si>
    <t>CAROL SORAYA</t>
  </si>
  <si>
    <t>TAMAYO CAMPOS</t>
  </si>
  <si>
    <t>Diagonal 80 No. 152 - 38</t>
  </si>
  <si>
    <t>carolsorayatamayocampos@losmedicos.com.co</t>
  </si>
  <si>
    <t>EMMA ALEXANDRA</t>
  </si>
  <si>
    <t>POVEDA FONDEMER</t>
  </si>
  <si>
    <t>Transversal 187 No. 1 - 26</t>
  </si>
  <si>
    <t>emmaalexandrapovedafondemer@elempresario.net.co</t>
  </si>
  <si>
    <t>CARLOS HERNANDO</t>
  </si>
  <si>
    <t>TOVAR BENITEZ</t>
  </si>
  <si>
    <t>Calle 94 No. 16 - 39</t>
  </si>
  <si>
    <t>carloshernandotovarbenitez@elempresario.net.co</t>
  </si>
  <si>
    <t>DOUGLAS</t>
  </si>
  <si>
    <t>RESTREPO DUQUE</t>
  </si>
  <si>
    <t>Diagonal 119 No. 115 - 180</t>
  </si>
  <si>
    <t>douglasrestrepoduque@losingenieros.com.co</t>
  </si>
  <si>
    <t>SHIRLEY</t>
  </si>
  <si>
    <t>LOZANO MARTINEZ</t>
  </si>
  <si>
    <t>Calle 156 No. 60 - 163</t>
  </si>
  <si>
    <t>shirleylozanomartinez@micolombia.com.co</t>
  </si>
  <si>
    <t>JULIO</t>
  </si>
  <si>
    <t>GARZON PEREZ</t>
  </si>
  <si>
    <t>Transversal 185 No. 158 - 90</t>
  </si>
  <si>
    <t>juliogarzonperez@micorreovirtual.com</t>
  </si>
  <si>
    <t>DIANA ZULELY</t>
  </si>
  <si>
    <t>RICO DAZA</t>
  </si>
  <si>
    <t>Carrera 182 No. 187 - 200</t>
  </si>
  <si>
    <t>dianazulelyricodaza@elempresario.net.co</t>
  </si>
  <si>
    <t>MERCEDES</t>
  </si>
  <si>
    <t>BARRETO SOLANO</t>
  </si>
  <si>
    <t>Avenida 120 No. 123 - 131</t>
  </si>
  <si>
    <t>mercedesbarretosolano@micolombia.com.co</t>
  </si>
  <si>
    <t>CARLOS ALBERTO</t>
  </si>
  <si>
    <t>TRONCOSO BAUTISTA</t>
  </si>
  <si>
    <t>Carrera 129 No. 196 - 156</t>
  </si>
  <si>
    <t>carlosalbertotroncosobautista@micorreovirtual.com</t>
  </si>
  <si>
    <t>LUIS ERNESTO</t>
  </si>
  <si>
    <t>DONCEL RAMOS</t>
  </si>
  <si>
    <t>Diagonal 83 No. 110 - 138</t>
  </si>
  <si>
    <t>luisernestodoncelramos@losingenieros.com.co</t>
  </si>
  <si>
    <t>DIANA YANETH</t>
  </si>
  <si>
    <t>RIVERA COOSERTEP</t>
  </si>
  <si>
    <t>Diagonal 174 No. 53 - 93</t>
  </si>
  <si>
    <t>dianayanethriveracoosertep@losmedicos.com.co</t>
  </si>
  <si>
    <t>MILLER EDUARDO</t>
  </si>
  <si>
    <t>BARBOSA SUAREZ</t>
  </si>
  <si>
    <t>Diagonal 5 No. 181 - 66</t>
  </si>
  <si>
    <t>millereduardobarbosasuarez@miempresa.com.co</t>
  </si>
  <si>
    <t>cod VEN</t>
  </si>
  <si>
    <t xml:space="preserve">APELLIDO </t>
  </si>
  <si>
    <t xml:space="preserve">COD CLIENTE </t>
  </si>
  <si>
    <t xml:space="preserve">NOMBRE </t>
  </si>
  <si>
    <t>FECHA DE NAC</t>
  </si>
  <si>
    <t xml:space="preserve">DIRRECCIÒN </t>
  </si>
  <si>
    <t>CORREO ELECTRONICO</t>
  </si>
  <si>
    <t>DIRECCIÓN:</t>
  </si>
  <si>
    <t>TELEFONO:</t>
  </si>
  <si>
    <t>EMAIL:</t>
  </si>
  <si>
    <t>ITEM</t>
  </si>
  <si>
    <t>COD PRODUCTO</t>
  </si>
  <si>
    <t>CANTIDAD</t>
  </si>
  <si>
    <t>VAL UNITARIO</t>
  </si>
  <si>
    <t>VALOR TOTAL</t>
  </si>
  <si>
    <t xml:space="preserve">VALOR IVA </t>
  </si>
  <si>
    <t>DESCUENTO</t>
  </si>
  <si>
    <t>DESCRIPCIÓN</t>
  </si>
  <si>
    <t>TELEFONO</t>
  </si>
  <si>
    <t>VENDEDOR:</t>
  </si>
  <si>
    <t>NOMBRE</t>
  </si>
  <si>
    <t>OBSERVACIONES:</t>
  </si>
  <si>
    <t>TOTAL A PAGAR</t>
  </si>
  <si>
    <t xml:space="preserve">SUB TOTAL </t>
  </si>
  <si>
    <t>COTIZACIÓN No</t>
  </si>
  <si>
    <t>ANA MARIA</t>
  </si>
  <si>
    <t>CODIGO</t>
  </si>
  <si>
    <t>PRODUCTO</t>
  </si>
  <si>
    <t>VALOR</t>
  </si>
  <si>
    <t>NOMBRE:</t>
  </si>
  <si>
    <t>IDENTIFICACION</t>
  </si>
  <si>
    <t>DATOS DEL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</si>
</sst>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color indexed="8"/>
      <name val="Calibri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165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1" applyNumberFormat="1" applyFont="1" applyBorder="1" applyAlignment="1"/>
    <xf numFmtId="0" fontId="4" fillId="0" borderId="0" xfId="2" applyFont="1"/>
    <xf numFmtId="0" fontId="0" fillId="0" borderId="0" xfId="1" applyNumberFormat="1" applyFont="1" applyFill="1" applyBorder="1"/>
    <xf numFmtId="14" fontId="0" fillId="0" borderId="0" xfId="0" applyNumberFormat="1"/>
    <xf numFmtId="0" fontId="2" fillId="0" borderId="0" xfId="0" applyFont="1" applyAlignment="1">
      <alignment horizontal="left" vertical="top"/>
    </xf>
    <xf numFmtId="0" fontId="5" fillId="0" borderId="0" xfId="3" applyFont="1" applyAlignment="1">
      <alignment horizontal="left" vertical="top"/>
    </xf>
    <xf numFmtId="14" fontId="2" fillId="0" borderId="0" xfId="0" applyNumberFormat="1" applyFont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5" fillId="0" borderId="4" xfId="3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14" fontId="2" fillId="0" borderId="4" xfId="0" applyNumberFormat="1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166" fontId="0" fillId="0" borderId="0" xfId="4" applyNumberFormat="1" applyFont="1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6" fillId="0" borderId="6" xfId="0" applyFont="1" applyBorder="1"/>
    <xf numFmtId="0" fontId="7" fillId="0" borderId="6" xfId="0" applyFont="1" applyBorder="1"/>
    <xf numFmtId="0" fontId="8" fillId="0" borderId="6" xfId="0" applyFont="1" applyBorder="1"/>
    <xf numFmtId="9" fontId="8" fillId="0" borderId="6" xfId="0" applyNumberFormat="1" applyFont="1" applyBorder="1"/>
    <xf numFmtId="0" fontId="8" fillId="0" borderId="0" xfId="0" applyFont="1" applyAlignment="1">
      <alignment horizontal="center"/>
    </xf>
    <xf numFmtId="0" fontId="2" fillId="0" borderId="6" xfId="0" applyFont="1" applyBorder="1"/>
    <xf numFmtId="0" fontId="0" fillId="0" borderId="16" xfId="0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8" fillId="0" borderId="10" xfId="0" applyFont="1" applyBorder="1" applyAlignment="1">
      <alignment horizontal="left" vertical="top"/>
    </xf>
    <xf numFmtId="0" fontId="8" fillId="0" borderId="11" xfId="0" applyFont="1" applyBorder="1" applyAlignment="1">
      <alignment horizontal="left" vertical="top"/>
    </xf>
    <xf numFmtId="0" fontId="8" fillId="0" borderId="12" xfId="0" applyFont="1" applyBorder="1" applyAlignment="1">
      <alignment horizontal="left" vertical="top"/>
    </xf>
    <xf numFmtId="0" fontId="8" fillId="0" borderId="13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14" xfId="0" applyFont="1" applyBorder="1" applyAlignment="1">
      <alignment horizontal="left" vertical="top"/>
    </xf>
    <xf numFmtId="0" fontId="8" fillId="0" borderId="15" xfId="0" applyFont="1" applyBorder="1" applyAlignment="1">
      <alignment horizontal="left" vertical="top"/>
    </xf>
    <xf numFmtId="0" fontId="8" fillId="0" borderId="16" xfId="0" applyFont="1" applyBorder="1" applyAlignment="1">
      <alignment horizontal="left" vertical="top"/>
    </xf>
    <xf numFmtId="0" fontId="8" fillId="0" borderId="17" xfId="0" applyFont="1" applyBorder="1" applyAlignment="1">
      <alignment horizontal="left" vertical="top"/>
    </xf>
    <xf numFmtId="0" fontId="8" fillId="0" borderId="7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9" fillId="0" borderId="6" xfId="0" applyFont="1" applyBorder="1"/>
    <xf numFmtId="0" fontId="9" fillId="0" borderId="0" xfId="0" applyFont="1"/>
    <xf numFmtId="0" fontId="0" fillId="0" borderId="6" xfId="0" applyFont="1" applyBorder="1"/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6" xfId="0" applyNumberFormat="1" applyFont="1" applyBorder="1"/>
    <xf numFmtId="1" fontId="0" fillId="0" borderId="6" xfId="0" applyNumberFormat="1" applyBorder="1" applyAlignment="1">
      <alignment horizontal="center"/>
    </xf>
  </cellXfs>
  <cellStyles count="5">
    <cellStyle name="Millares" xfId="4" builtinId="3"/>
    <cellStyle name="Moneda" xfId="1" builtinId="4"/>
    <cellStyle name="Normal" xfId="0" builtinId="0"/>
    <cellStyle name="Normal_Hoja1" xfId="3" xr:uid="{00000000-0005-0000-0000-000003000000}"/>
    <cellStyle name="Normal_ListadoProductos" xfId="2" xr:uid="{00000000-0005-0000-0000-000004000000}"/>
  </cellStyles>
  <dxfs count="77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FF00"/>
      </font>
    </dxf>
    <dxf>
      <font>
        <color theme="3" tint="0.39994506668294322"/>
      </font>
    </dxf>
    <dxf>
      <font>
        <color theme="9" tint="-0.24994659260841701"/>
      </font>
    </dxf>
    <dxf>
      <font>
        <color theme="0"/>
      </font>
    </dxf>
    <dxf>
      <font>
        <color theme="4"/>
      </font>
    </dxf>
    <dxf>
      <font>
        <color theme="0"/>
      </font>
    </dxf>
    <dxf>
      <font>
        <color theme="4"/>
      </font>
    </dxf>
    <dxf>
      <font>
        <color theme="5"/>
      </font>
    </dxf>
    <dxf>
      <font>
        <color theme="0"/>
      </font>
    </dxf>
    <dxf>
      <fill>
        <patternFill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FF00"/>
      </font>
    </dxf>
    <dxf>
      <font>
        <color theme="3" tint="0.39994506668294322"/>
      </font>
    </dxf>
    <dxf>
      <font>
        <color theme="9" tint="-0.24994659260841701"/>
      </font>
    </dxf>
    <dxf>
      <font>
        <color theme="0"/>
      </font>
    </dxf>
    <dxf>
      <font>
        <color theme="4"/>
      </font>
    </dxf>
    <dxf>
      <font>
        <color theme="0"/>
      </font>
    </dxf>
    <dxf>
      <font>
        <color theme="4"/>
      </font>
    </dxf>
    <dxf>
      <font>
        <color theme="5"/>
      </font>
    </dxf>
    <dxf>
      <font>
        <color theme="0"/>
      </font>
    </dxf>
    <dxf>
      <fill>
        <patternFill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FF00"/>
      </font>
    </dxf>
    <dxf>
      <font>
        <color theme="3" tint="0.39994506668294322"/>
      </font>
    </dxf>
    <dxf>
      <font>
        <color theme="9" tint="-0.24994659260841701"/>
      </font>
    </dxf>
    <dxf>
      <font>
        <color theme="0"/>
      </font>
    </dxf>
    <dxf>
      <font>
        <color theme="4"/>
      </font>
    </dxf>
    <dxf>
      <font>
        <color theme="0"/>
      </font>
    </dxf>
    <dxf>
      <font>
        <color theme="4"/>
      </font>
    </dxf>
    <dxf>
      <font>
        <color theme="5"/>
      </font>
    </dxf>
    <dxf>
      <font>
        <color theme="0"/>
      </font>
    </dxf>
    <dxf>
      <fill>
        <patternFill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FF00"/>
      </font>
    </dxf>
    <dxf>
      <font>
        <color theme="0"/>
      </font>
    </dxf>
    <dxf>
      <font>
        <color rgb="FFFFFF00"/>
      </font>
    </dxf>
    <dxf>
      <font>
        <color theme="3" tint="0.39994506668294322"/>
      </font>
    </dxf>
    <dxf>
      <font>
        <color theme="9" tint="-0.24994659260841701"/>
      </font>
    </dxf>
    <dxf>
      <font>
        <color theme="0"/>
      </font>
    </dxf>
    <dxf>
      <font>
        <color theme="4"/>
      </font>
    </dxf>
    <dxf>
      <font>
        <color theme="0"/>
      </font>
    </dxf>
    <dxf>
      <fill>
        <patternFill>
          <bgColor theme="0"/>
        </patternFill>
      </fill>
    </dxf>
    <dxf>
      <font>
        <color theme="0"/>
      </font>
    </dxf>
    <dxf>
      <font>
        <color theme="5"/>
      </font>
    </dxf>
    <dxf>
      <font>
        <color theme="4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zoomScaleNormal="100" zoomScalePageLayoutView="96" workbookViewId="0">
      <selection activeCell="F52" sqref="F51:F52"/>
    </sheetView>
  </sheetViews>
  <sheetFormatPr baseColWidth="10" defaultRowHeight="15" x14ac:dyDescent="0.25"/>
  <cols>
    <col min="1" max="1" width="11.5703125" customWidth="1"/>
    <col min="2" max="2" width="12.28515625" customWidth="1"/>
    <col min="7" max="7" width="14.42578125" customWidth="1"/>
    <col min="8" max="8" width="12" customWidth="1"/>
    <col min="9" max="9" width="6.7109375" customWidth="1"/>
    <col min="10" max="10" width="13.140625" customWidth="1"/>
  </cols>
  <sheetData>
    <row r="1" spans="1:11" x14ac:dyDescent="0.25">
      <c r="A1" s="24" t="s">
        <v>1212</v>
      </c>
      <c r="B1" s="24"/>
      <c r="C1" s="24"/>
      <c r="D1" s="24"/>
      <c r="E1" s="24"/>
      <c r="F1" s="24"/>
      <c r="G1" s="24"/>
      <c r="H1" s="24"/>
      <c r="I1" s="24"/>
    </row>
    <row r="2" spans="1:11" x14ac:dyDescent="0.25">
      <c r="A2" s="23" t="s">
        <v>1211</v>
      </c>
      <c r="B2" s="26">
        <v>900901</v>
      </c>
      <c r="C2" s="28"/>
      <c r="D2" s="16" t="s">
        <v>1210</v>
      </c>
      <c r="E2" s="26" t="str">
        <f>CONCATENATE(VLOOKUP(B2,CLIENTE,2,FALSE)," ",VLOOKUP(B2,CLIENTE,3,FALSE))</f>
        <v>ANA MARIA ANDRADE PRIETO</v>
      </c>
      <c r="F2" s="27"/>
      <c r="G2" s="27"/>
      <c r="H2" s="27"/>
      <c r="I2" s="28"/>
      <c r="J2" s="18" t="s">
        <v>1205</v>
      </c>
    </row>
    <row r="3" spans="1:11" x14ac:dyDescent="0.25">
      <c r="A3" s="16" t="s">
        <v>1188</v>
      </c>
      <c r="B3" s="26" t="str">
        <f>VLOOKUP(B2,CLIENTE,6,FALSE)</f>
        <v>Diagonal 27 No. 137 - 8</v>
      </c>
      <c r="C3" s="27"/>
      <c r="D3" s="27"/>
      <c r="E3" s="27"/>
      <c r="F3" s="27"/>
      <c r="G3" s="27"/>
      <c r="H3" s="27"/>
      <c r="I3" s="28"/>
      <c r="J3" s="30"/>
    </row>
    <row r="4" spans="1:11" x14ac:dyDescent="0.25">
      <c r="A4" s="16" t="s">
        <v>1189</v>
      </c>
      <c r="B4" s="16"/>
      <c r="C4" s="16" t="s">
        <v>1190</v>
      </c>
      <c r="D4" s="26" t="str">
        <f>VLOOKUP(B2,CLIENTE,7,FALSE)</f>
        <v>olgavictoriaandradevaron@elempresario.net.co</v>
      </c>
      <c r="E4" s="27"/>
      <c r="F4" s="27"/>
      <c r="G4" s="27"/>
      <c r="H4" s="27"/>
      <c r="I4" s="28"/>
      <c r="J4" s="30"/>
    </row>
    <row r="5" spans="1:11" x14ac:dyDescent="0.25">
      <c r="A5" s="30"/>
      <c r="B5" s="30"/>
      <c r="C5" s="30"/>
      <c r="D5" s="30"/>
      <c r="E5" s="30"/>
      <c r="F5" s="30"/>
      <c r="G5" s="30"/>
      <c r="H5" s="30"/>
      <c r="I5" s="30"/>
      <c r="J5" s="30"/>
    </row>
    <row r="6" spans="1:1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</row>
    <row r="7" spans="1:11" x14ac:dyDescent="0.25">
      <c r="A7" s="16" t="s">
        <v>1191</v>
      </c>
      <c r="B7" s="19" t="s">
        <v>1192</v>
      </c>
      <c r="C7" s="17" t="s">
        <v>1193</v>
      </c>
      <c r="D7" s="26" t="s">
        <v>1198</v>
      </c>
      <c r="E7" s="27"/>
      <c r="F7" s="27"/>
      <c r="G7" s="28"/>
      <c r="H7" s="25" t="s">
        <v>1194</v>
      </c>
      <c r="I7" s="25"/>
      <c r="J7" s="16" t="s">
        <v>1195</v>
      </c>
    </row>
    <row r="8" spans="1:11" x14ac:dyDescent="0.25">
      <c r="A8" s="16"/>
      <c r="B8" s="16">
        <v>1</v>
      </c>
      <c r="C8" s="16"/>
      <c r="D8" s="26" t="str">
        <f>VLOOKUP(B8,PRODUCTO,2,FALSE)</f>
        <v>ACETATO PARA FOTOCOPIADO - CARTA</v>
      </c>
      <c r="E8" s="27"/>
      <c r="F8" s="27"/>
      <c r="G8" s="28"/>
      <c r="H8" s="25">
        <f>VLOOKUP(B8,PRODUCTO,3,FALSE)</f>
        <v>100</v>
      </c>
      <c r="I8" s="25"/>
      <c r="J8" s="42">
        <f>IFERROR(H8*C8,0)</f>
        <v>0</v>
      </c>
      <c r="K8" s="43"/>
    </row>
    <row r="9" spans="1:11" x14ac:dyDescent="0.25">
      <c r="A9" s="16"/>
      <c r="B9" s="16">
        <v>2</v>
      </c>
      <c r="C9" s="16"/>
      <c r="D9" s="26" t="str">
        <f>VLOOKUP(B9,PRODUCTO,2,FALSE)</f>
        <v>ACETATO PARA FOTOCOPIADORA.</v>
      </c>
      <c r="E9" s="27"/>
      <c r="F9" s="27"/>
      <c r="G9" s="28"/>
      <c r="H9" s="25">
        <f>VLOOKUP(B9,PRODUCTO,3,FALSE)</f>
        <v>100</v>
      </c>
      <c r="I9" s="25"/>
      <c r="J9" s="42">
        <f t="shared" ref="J9:J32" si="0">IFERROR(H9*C9,0)</f>
        <v>0</v>
      </c>
      <c r="K9" s="43"/>
    </row>
    <row r="10" spans="1:11" x14ac:dyDescent="0.25">
      <c r="A10" s="16"/>
      <c r="B10" s="16">
        <v>3</v>
      </c>
      <c r="C10" s="16"/>
      <c r="D10" s="26" t="str">
        <f>VLOOKUP(B10,PRODUCTO,2,FALSE)</f>
        <v>ACETATO PARA IMPRESORA BURBUJA</v>
      </c>
      <c r="E10" s="27"/>
      <c r="F10" s="27"/>
      <c r="G10" s="28"/>
      <c r="H10" s="25">
        <f>VLOOKUP(B10,PRODUCTO,3,FALSE)</f>
        <v>150</v>
      </c>
      <c r="I10" s="25"/>
      <c r="J10" s="42">
        <f t="shared" si="0"/>
        <v>0</v>
      </c>
      <c r="K10" s="43"/>
    </row>
    <row r="11" spans="1:11" x14ac:dyDescent="0.25">
      <c r="A11" s="16"/>
      <c r="B11" s="16">
        <v>15</v>
      </c>
      <c r="C11" s="16"/>
      <c r="D11" s="26" t="str">
        <f>VLOOKUP(B11,PRODUCTO,2,FALSE)</f>
        <v>ANILLO PLASTICO PARA ENCUADERNACION DE 15MM</v>
      </c>
      <c r="E11" s="27"/>
      <c r="F11" s="27"/>
      <c r="G11" s="28"/>
      <c r="H11" s="25">
        <f>VLOOKUP(B11,PRODUCTO,3,FALSE)</f>
        <v>1500</v>
      </c>
      <c r="I11" s="25"/>
      <c r="J11" s="42">
        <f t="shared" si="0"/>
        <v>0</v>
      </c>
      <c r="K11" s="43"/>
    </row>
    <row r="12" spans="1:11" x14ac:dyDescent="0.25">
      <c r="A12" s="16"/>
      <c r="B12" s="16">
        <v>4</v>
      </c>
      <c r="C12" s="16"/>
      <c r="D12" s="26" t="str">
        <f>VLOOKUP(B12,PRODUCTO,2,FALSE)</f>
        <v>ACETATO PARA LAMINAR CALIBRE 38</v>
      </c>
      <c r="E12" s="27"/>
      <c r="F12" s="27"/>
      <c r="G12" s="28"/>
      <c r="H12" s="25">
        <f>VLOOKUP(B12,PRODUCTO,3,FALSE)</f>
        <v>150</v>
      </c>
      <c r="I12" s="25"/>
      <c r="J12" s="42">
        <f t="shared" si="0"/>
        <v>0</v>
      </c>
      <c r="K12" s="43"/>
    </row>
    <row r="13" spans="1:11" x14ac:dyDescent="0.25">
      <c r="A13" s="16"/>
      <c r="B13" s="16"/>
      <c r="C13" s="16"/>
      <c r="D13" s="26" t="e">
        <f>VLOOKUP(B13,PRODUCTO,2,FALSE)</f>
        <v>#N/A</v>
      </c>
      <c r="E13" s="27"/>
      <c r="F13" s="27"/>
      <c r="G13" s="28"/>
      <c r="H13" s="25" t="e">
        <f>VLOOKUP(B13,PRODUCTO,3,FALSE)</f>
        <v>#N/A</v>
      </c>
      <c r="I13" s="25"/>
      <c r="J13" s="42">
        <f t="shared" si="0"/>
        <v>0</v>
      </c>
      <c r="K13" s="43"/>
    </row>
    <row r="14" spans="1:11" x14ac:dyDescent="0.25">
      <c r="A14" s="16"/>
      <c r="B14" s="16"/>
      <c r="C14" s="16"/>
      <c r="D14" s="26" t="e">
        <f>VLOOKUP(B14,PRODUCTO,2,FALSE)</f>
        <v>#N/A</v>
      </c>
      <c r="E14" s="27"/>
      <c r="F14" s="27"/>
      <c r="G14" s="28"/>
      <c r="H14" s="25" t="e">
        <f>VLOOKUP(B14,PRODUCTO,3,FALSE)</f>
        <v>#N/A</v>
      </c>
      <c r="I14" s="25"/>
      <c r="J14" s="42">
        <f t="shared" si="0"/>
        <v>0</v>
      </c>
      <c r="K14" s="43"/>
    </row>
    <row r="15" spans="1:11" x14ac:dyDescent="0.25">
      <c r="A15" s="16"/>
      <c r="B15" s="16"/>
      <c r="C15" s="16"/>
      <c r="D15" s="26" t="e">
        <f>VLOOKUP(B15,PRODUCTO,2,FALSE)</f>
        <v>#N/A</v>
      </c>
      <c r="E15" s="27"/>
      <c r="F15" s="27"/>
      <c r="G15" s="28"/>
      <c r="H15" s="25" t="e">
        <f>VLOOKUP(B15,PRODUCTO,3,FALSE)</f>
        <v>#N/A</v>
      </c>
      <c r="I15" s="25"/>
      <c r="J15" s="42">
        <f t="shared" si="0"/>
        <v>0</v>
      </c>
      <c r="K15" s="43"/>
    </row>
    <row r="16" spans="1:11" x14ac:dyDescent="0.25">
      <c r="A16" s="16"/>
      <c r="B16" s="16"/>
      <c r="C16" s="16"/>
      <c r="D16" s="26" t="e">
        <f>VLOOKUP(B16,PRODUCTO,2,FALSE)</f>
        <v>#N/A</v>
      </c>
      <c r="E16" s="27"/>
      <c r="F16" s="27"/>
      <c r="G16" s="28"/>
      <c r="H16" s="25" t="e">
        <f>VLOOKUP(B16,PRODUCTO,3,FALSE)</f>
        <v>#N/A</v>
      </c>
      <c r="I16" s="25"/>
      <c r="J16" s="42">
        <f t="shared" si="0"/>
        <v>0</v>
      </c>
      <c r="K16" s="43"/>
    </row>
    <row r="17" spans="1:11" x14ac:dyDescent="0.25">
      <c r="A17" s="16"/>
      <c r="B17" s="16"/>
      <c r="C17" s="16"/>
      <c r="D17" s="26" t="e">
        <f>VLOOKUP(B17,PRODUCTO,2,FALSE)</f>
        <v>#N/A</v>
      </c>
      <c r="E17" s="27"/>
      <c r="F17" s="27"/>
      <c r="G17" s="28"/>
      <c r="H17" s="25" t="e">
        <f>VLOOKUP(B17,PRODUCTO,3,FALSE)</f>
        <v>#N/A</v>
      </c>
      <c r="I17" s="25"/>
      <c r="J17" s="42">
        <f t="shared" si="0"/>
        <v>0</v>
      </c>
      <c r="K17" s="43"/>
    </row>
    <row r="18" spans="1:11" x14ac:dyDescent="0.25">
      <c r="A18" s="16"/>
      <c r="B18" s="16"/>
      <c r="C18" s="16"/>
      <c r="D18" s="26" t="e">
        <f>VLOOKUP(B18,PRODUCTO,2,FALSE)</f>
        <v>#N/A</v>
      </c>
      <c r="E18" s="27"/>
      <c r="F18" s="27"/>
      <c r="G18" s="28"/>
      <c r="H18" s="25" t="e">
        <f>VLOOKUP(B18,PRODUCTO,3,FALSE)</f>
        <v>#N/A</v>
      </c>
      <c r="I18" s="25"/>
      <c r="J18" s="42">
        <f t="shared" si="0"/>
        <v>0</v>
      </c>
      <c r="K18" s="43"/>
    </row>
    <row r="19" spans="1:11" x14ac:dyDescent="0.25">
      <c r="A19" s="16"/>
      <c r="B19" s="16"/>
      <c r="C19" s="16"/>
      <c r="D19" s="26" t="e">
        <f>VLOOKUP(B19,PRODUCTO,2,FALSE)</f>
        <v>#N/A</v>
      </c>
      <c r="E19" s="27"/>
      <c r="F19" s="27"/>
      <c r="G19" s="28"/>
      <c r="H19" s="25" t="e">
        <f>VLOOKUP(B19,PRODUCTO,3,FALSE)</f>
        <v>#N/A</v>
      </c>
      <c r="I19" s="25"/>
      <c r="J19" s="42">
        <f t="shared" si="0"/>
        <v>0</v>
      </c>
      <c r="K19" s="43"/>
    </row>
    <row r="20" spans="1:11" x14ac:dyDescent="0.25">
      <c r="A20" s="16"/>
      <c r="B20" s="16"/>
      <c r="C20" s="16"/>
      <c r="D20" s="26" t="e">
        <f>VLOOKUP(B20,PRODUCTO,2,FALSE)</f>
        <v>#N/A</v>
      </c>
      <c r="E20" s="27"/>
      <c r="F20" s="27"/>
      <c r="G20" s="28"/>
      <c r="H20" s="25" t="e">
        <f>VLOOKUP(B20,PRODUCTO,3,FALSE)</f>
        <v>#N/A</v>
      </c>
      <c r="I20" s="25"/>
      <c r="J20" s="42">
        <f t="shared" si="0"/>
        <v>0</v>
      </c>
      <c r="K20" s="43"/>
    </row>
    <row r="21" spans="1:11" x14ac:dyDescent="0.25">
      <c r="A21" s="16"/>
      <c r="B21" s="16"/>
      <c r="C21" s="16"/>
      <c r="D21" s="26" t="e">
        <f>VLOOKUP(B21,PRODUCTO,2,FALSE)</f>
        <v>#N/A</v>
      </c>
      <c r="E21" s="27"/>
      <c r="F21" s="27"/>
      <c r="G21" s="28"/>
      <c r="H21" s="25" t="e">
        <f>VLOOKUP(B21,PRODUCTO,3,FALSE)</f>
        <v>#N/A</v>
      </c>
      <c r="I21" s="25"/>
      <c r="J21" s="42">
        <f t="shared" si="0"/>
        <v>0</v>
      </c>
      <c r="K21" s="43"/>
    </row>
    <row r="22" spans="1:11" x14ac:dyDescent="0.25">
      <c r="A22" s="16"/>
      <c r="B22" s="16"/>
      <c r="C22" s="16"/>
      <c r="D22" s="26" t="e">
        <f>VLOOKUP(B22,PRODUCTO,2,FALSE)</f>
        <v>#N/A</v>
      </c>
      <c r="E22" s="27"/>
      <c r="F22" s="27"/>
      <c r="G22" s="28"/>
      <c r="H22" s="25" t="e">
        <f>VLOOKUP(B22,PRODUCTO,3,FALSE)</f>
        <v>#N/A</v>
      </c>
      <c r="I22" s="25"/>
      <c r="J22" s="42">
        <f t="shared" si="0"/>
        <v>0</v>
      </c>
      <c r="K22" s="43"/>
    </row>
    <row r="23" spans="1:11" x14ac:dyDescent="0.25">
      <c r="A23" s="16"/>
      <c r="B23" s="16"/>
      <c r="C23" s="16"/>
      <c r="D23" s="26" t="e">
        <f>VLOOKUP(B23,PRODUCTO,2,FALSE)</f>
        <v>#N/A</v>
      </c>
      <c r="E23" s="27"/>
      <c r="F23" s="27"/>
      <c r="G23" s="28"/>
      <c r="H23" s="25" t="e">
        <f>VLOOKUP(B23,PRODUCTO,3,FALSE)</f>
        <v>#N/A</v>
      </c>
      <c r="I23" s="25"/>
      <c r="J23" s="42">
        <f t="shared" si="0"/>
        <v>0</v>
      </c>
      <c r="K23" s="43"/>
    </row>
    <row r="24" spans="1:11" x14ac:dyDescent="0.25">
      <c r="A24" s="16"/>
      <c r="B24" s="16"/>
      <c r="C24" s="16"/>
      <c r="D24" s="26" t="e">
        <f>VLOOKUP(B24,PRODUCTO,2,FALSE)</f>
        <v>#N/A</v>
      </c>
      <c r="E24" s="27"/>
      <c r="F24" s="27"/>
      <c r="G24" s="28"/>
      <c r="H24" s="25" t="e">
        <f>VLOOKUP(B24,PRODUCTO,3,FALSE)</f>
        <v>#N/A</v>
      </c>
      <c r="I24" s="25"/>
      <c r="J24" s="42">
        <f t="shared" si="0"/>
        <v>0</v>
      </c>
      <c r="K24" s="43"/>
    </row>
    <row r="25" spans="1:11" x14ac:dyDescent="0.25">
      <c r="A25" s="16"/>
      <c r="B25" s="16"/>
      <c r="C25" s="16"/>
      <c r="D25" s="26" t="e">
        <f>VLOOKUP(B25,PRODUCTO,2,FALSE)</f>
        <v>#N/A</v>
      </c>
      <c r="E25" s="27"/>
      <c r="F25" s="27"/>
      <c r="G25" s="28"/>
      <c r="H25" s="25" t="e">
        <f>VLOOKUP(B25,PRODUCTO,3,FALSE)</f>
        <v>#N/A</v>
      </c>
      <c r="I25" s="25"/>
      <c r="J25" s="42">
        <f t="shared" si="0"/>
        <v>0</v>
      </c>
      <c r="K25" s="43"/>
    </row>
    <row r="26" spans="1:11" x14ac:dyDescent="0.25">
      <c r="A26" s="16"/>
      <c r="B26" s="16"/>
      <c r="C26" s="16"/>
      <c r="D26" s="26" t="e">
        <f>VLOOKUP(B26,PRODUCTO,2,FALSE)</f>
        <v>#N/A</v>
      </c>
      <c r="E26" s="27"/>
      <c r="F26" s="27"/>
      <c r="G26" s="28"/>
      <c r="H26" s="25" t="e">
        <f>VLOOKUP(B26,PRODUCTO,3,FALSE)</f>
        <v>#N/A</v>
      </c>
      <c r="I26" s="25"/>
      <c r="J26" s="42">
        <f t="shared" si="0"/>
        <v>0</v>
      </c>
      <c r="K26" s="43"/>
    </row>
    <row r="27" spans="1:11" x14ac:dyDescent="0.25">
      <c r="A27" s="16"/>
      <c r="B27" s="16"/>
      <c r="C27" s="16"/>
      <c r="D27" s="26" t="e">
        <f>VLOOKUP(B27,PRODUCTO,2,FALSE)</f>
        <v>#N/A</v>
      </c>
      <c r="E27" s="27"/>
      <c r="F27" s="27"/>
      <c r="G27" s="28"/>
      <c r="H27" s="25" t="e">
        <f>VLOOKUP(B27,PRODUCTO,3,FALSE)</f>
        <v>#N/A</v>
      </c>
      <c r="I27" s="25"/>
      <c r="J27" s="42">
        <f t="shared" si="0"/>
        <v>0</v>
      </c>
      <c r="K27" s="43"/>
    </row>
    <row r="28" spans="1:11" x14ac:dyDescent="0.25">
      <c r="A28" s="16"/>
      <c r="B28" s="16"/>
      <c r="C28" s="16"/>
      <c r="D28" s="26" t="e">
        <f>VLOOKUP(B28,PRODUCTO,2,FALSE)</f>
        <v>#N/A</v>
      </c>
      <c r="E28" s="27"/>
      <c r="F28" s="27"/>
      <c r="G28" s="28"/>
      <c r="H28" s="25" t="e">
        <f>VLOOKUP(B28,PRODUCTO,3,FALSE)</f>
        <v>#N/A</v>
      </c>
      <c r="I28" s="25"/>
      <c r="J28" s="42">
        <f t="shared" si="0"/>
        <v>0</v>
      </c>
      <c r="K28" s="43"/>
    </row>
    <row r="29" spans="1:11" x14ac:dyDescent="0.25">
      <c r="A29" s="16"/>
      <c r="B29" s="16"/>
      <c r="C29" s="16"/>
      <c r="D29" s="26" t="e">
        <f>VLOOKUP(B29,PRODUCTO,2,FALSE)</f>
        <v>#N/A</v>
      </c>
      <c r="E29" s="27"/>
      <c r="F29" s="27"/>
      <c r="G29" s="28"/>
      <c r="H29" s="25" t="e">
        <f>VLOOKUP(B29,PRODUCTO,3,FALSE)</f>
        <v>#N/A</v>
      </c>
      <c r="I29" s="25"/>
      <c r="J29" s="42">
        <f t="shared" si="0"/>
        <v>0</v>
      </c>
      <c r="K29" s="43"/>
    </row>
    <row r="30" spans="1:11" x14ac:dyDescent="0.25">
      <c r="A30" s="16"/>
      <c r="B30" s="16"/>
      <c r="C30" s="16"/>
      <c r="D30" s="26" t="e">
        <f>VLOOKUP(B30,PRODUCTO,2,FALSE)</f>
        <v>#N/A</v>
      </c>
      <c r="E30" s="27"/>
      <c r="F30" s="27"/>
      <c r="G30" s="28"/>
      <c r="H30" s="25" t="e">
        <f>VLOOKUP(B30,PRODUCTO,3,FALSE)</f>
        <v>#N/A</v>
      </c>
      <c r="I30" s="25"/>
      <c r="J30" s="42">
        <f t="shared" si="0"/>
        <v>0</v>
      </c>
      <c r="K30" s="43"/>
    </row>
    <row r="31" spans="1:11" x14ac:dyDescent="0.25">
      <c r="A31" s="16"/>
      <c r="B31" s="16"/>
      <c r="C31" s="16"/>
      <c r="D31" s="26" t="e">
        <f>VLOOKUP(B31,PRODUCTO,2,FALSE)</f>
        <v>#N/A</v>
      </c>
      <c r="E31" s="27"/>
      <c r="F31" s="27"/>
      <c r="G31" s="28"/>
      <c r="H31" s="25" t="e">
        <f>VLOOKUP(B31,PRODUCTO,3,FALSE)</f>
        <v>#N/A</v>
      </c>
      <c r="I31" s="25"/>
      <c r="J31" s="42">
        <f t="shared" si="0"/>
        <v>0</v>
      </c>
      <c r="K31" s="43"/>
    </row>
    <row r="32" spans="1:11" x14ac:dyDescent="0.25">
      <c r="A32" s="16"/>
      <c r="B32" s="16"/>
      <c r="C32" s="16"/>
      <c r="D32" s="26" t="e">
        <f>VLOOKUP(B32,PRODUCTO,2,FALSE)</f>
        <v>#N/A</v>
      </c>
      <c r="E32" s="27"/>
      <c r="F32" s="27"/>
      <c r="G32" s="28"/>
      <c r="H32" s="25" t="e">
        <f>VLOOKUP(B32,PRODUCTO,3,FALSE)</f>
        <v>#N/A</v>
      </c>
      <c r="I32" s="25"/>
      <c r="J32" s="42">
        <f t="shared" si="0"/>
        <v>0</v>
      </c>
      <c r="K32" s="43"/>
    </row>
    <row r="33" spans="1:11" x14ac:dyDescent="0.25">
      <c r="A33" s="20" t="s">
        <v>1200</v>
      </c>
      <c r="B33" s="20" t="s">
        <v>535</v>
      </c>
      <c r="C33" s="20" t="s">
        <v>1201</v>
      </c>
      <c r="D33" s="45" t="str">
        <f>CONCATENATE(VLOOKUP(B33,VENDEDOR,2,FALSE)," ",VLOOKUP(B33,VENDEDOR,3,FALSE))</f>
        <v>Ricardo Piragua</v>
      </c>
      <c r="E33" s="46"/>
      <c r="F33" s="46"/>
      <c r="G33" s="47"/>
      <c r="H33" s="40" t="s">
        <v>1204</v>
      </c>
      <c r="I33" s="41"/>
      <c r="J33" s="44">
        <f>SUM(J8:J32)</f>
        <v>0</v>
      </c>
      <c r="K33" s="43"/>
    </row>
    <row r="34" spans="1:11" x14ac:dyDescent="0.25">
      <c r="A34" s="31" t="s">
        <v>1202</v>
      </c>
      <c r="B34" s="32"/>
      <c r="C34" s="32"/>
      <c r="D34" s="32"/>
      <c r="E34" s="32"/>
      <c r="F34" s="32"/>
      <c r="G34" s="33"/>
      <c r="H34" s="20" t="s">
        <v>1196</v>
      </c>
      <c r="I34" s="21">
        <v>0.19</v>
      </c>
      <c r="J34" s="44">
        <f>0.19*J33</f>
        <v>0</v>
      </c>
      <c r="K34" s="43"/>
    </row>
    <row r="35" spans="1:11" x14ac:dyDescent="0.25">
      <c r="A35" s="34"/>
      <c r="B35" s="35"/>
      <c r="C35" s="35"/>
      <c r="D35" s="35"/>
      <c r="E35" s="35"/>
      <c r="F35" s="35"/>
      <c r="G35" s="36"/>
      <c r="H35" s="20" t="s">
        <v>1197</v>
      </c>
      <c r="I35" s="21">
        <v>0.02</v>
      </c>
      <c r="J35" s="48">
        <f>0.02*J33</f>
        <v>0</v>
      </c>
      <c r="K35" s="43"/>
    </row>
    <row r="36" spans="1:11" x14ac:dyDescent="0.25">
      <c r="A36" s="34"/>
      <c r="B36" s="35"/>
      <c r="C36" s="35"/>
      <c r="D36" s="35"/>
      <c r="E36" s="35"/>
      <c r="F36" s="35"/>
      <c r="G36" s="36"/>
      <c r="H36" s="29" t="s">
        <v>1203</v>
      </c>
      <c r="I36" s="29"/>
      <c r="J36" s="49">
        <f>J33+J34-J35</f>
        <v>0</v>
      </c>
    </row>
    <row r="37" spans="1:11" x14ac:dyDescent="0.25">
      <c r="A37" s="37"/>
      <c r="B37" s="38"/>
      <c r="C37" s="38"/>
      <c r="D37" s="38"/>
      <c r="E37" s="38"/>
      <c r="F37" s="38"/>
      <c r="G37" s="39"/>
      <c r="H37" s="29"/>
      <c r="I37" s="29"/>
      <c r="J37" s="49"/>
    </row>
  </sheetData>
  <mergeCells count="64">
    <mergeCell ref="B2:C2"/>
    <mergeCell ref="E2:I2"/>
    <mergeCell ref="D7:G7"/>
    <mergeCell ref="H7:I7"/>
    <mergeCell ref="B3:I3"/>
    <mergeCell ref="D4:I4"/>
    <mergeCell ref="A5:J6"/>
    <mergeCell ref="J3:J4"/>
    <mergeCell ref="H36:I37"/>
    <mergeCell ref="J36:J37"/>
    <mergeCell ref="D14:G14"/>
    <mergeCell ref="D15:G15"/>
    <mergeCell ref="D16:G16"/>
    <mergeCell ref="D17:G17"/>
    <mergeCell ref="D33:G33"/>
    <mergeCell ref="A34:G37"/>
    <mergeCell ref="H33:I33"/>
    <mergeCell ref="D29:G29"/>
    <mergeCell ref="D20:G20"/>
    <mergeCell ref="D18:G18"/>
    <mergeCell ref="D19:G19"/>
    <mergeCell ref="D21:G21"/>
    <mergeCell ref="D22:G22"/>
    <mergeCell ref="H32:I32"/>
    <mergeCell ref="H27:I27"/>
    <mergeCell ref="H28:I28"/>
    <mergeCell ref="H29:I29"/>
    <mergeCell ref="H30:I30"/>
    <mergeCell ref="H31:I31"/>
    <mergeCell ref="D30:G30"/>
    <mergeCell ref="D31:G31"/>
    <mergeCell ref="D32:G32"/>
    <mergeCell ref="D27:G27"/>
    <mergeCell ref="D28:G28"/>
    <mergeCell ref="D26:G26"/>
    <mergeCell ref="H15:I15"/>
    <mergeCell ref="H16:I16"/>
    <mergeCell ref="H17:I17"/>
    <mergeCell ref="H18:I18"/>
    <mergeCell ref="H19:I19"/>
    <mergeCell ref="H21:I21"/>
    <mergeCell ref="H22:I22"/>
    <mergeCell ref="H23:I23"/>
    <mergeCell ref="H24:I24"/>
    <mergeCell ref="H25:I25"/>
    <mergeCell ref="H26:I26"/>
    <mergeCell ref="D23:G23"/>
    <mergeCell ref="H20:I20"/>
    <mergeCell ref="A1:I1"/>
    <mergeCell ref="H13:I13"/>
    <mergeCell ref="H14:I14"/>
    <mergeCell ref="D24:G24"/>
    <mergeCell ref="D25:G25"/>
    <mergeCell ref="H8:I8"/>
    <mergeCell ref="H9:I9"/>
    <mergeCell ref="H10:I10"/>
    <mergeCell ref="H11:I11"/>
    <mergeCell ref="H12:I12"/>
    <mergeCell ref="D8:G8"/>
    <mergeCell ref="D9:G9"/>
    <mergeCell ref="D10:G10"/>
    <mergeCell ref="D11:G11"/>
    <mergeCell ref="D12:G12"/>
    <mergeCell ref="D13:G13"/>
  </mergeCells>
  <pageMargins left="0.70866141732283472" right="0.70866141732283472" top="2.5196850393700787" bottom="1.3385826771653544" header="0.31496062992125984" footer="0.31496062992125984"/>
  <pageSetup paperSize="9" scale="74" orientation="portrait" r:id="rId1"/>
  <headerFooter>
    <oddHeader>&amp;C&amp;G</oddHeader>
    <oddFooter>&amp;L &amp;P de &amp;N
&amp;F&amp;C&amp;G&amp;R&amp;D&amp;T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D7" sqref="A1:F8"/>
    </sheetView>
  </sheetViews>
  <sheetFormatPr baseColWidth="10" defaultRowHeight="15" x14ac:dyDescent="0.25"/>
  <cols>
    <col min="4" max="4" width="14.28515625" bestFit="1" customWidth="1"/>
  </cols>
  <sheetData>
    <row r="1" spans="1:6" x14ac:dyDescent="0.25">
      <c r="A1" t="s">
        <v>1181</v>
      </c>
      <c r="B1" t="s">
        <v>1181</v>
      </c>
      <c r="C1" t="s">
        <v>1181</v>
      </c>
      <c r="D1" t="s">
        <v>1181</v>
      </c>
      <c r="E1" t="s">
        <v>1181</v>
      </c>
      <c r="F1" t="s">
        <v>1181</v>
      </c>
    </row>
    <row r="2" spans="1:6" x14ac:dyDescent="0.25">
      <c r="A2" t="s">
        <v>535</v>
      </c>
      <c r="B2" t="s">
        <v>536</v>
      </c>
      <c r="C2" t="s">
        <v>537</v>
      </c>
      <c r="D2" s="4">
        <v>28653</v>
      </c>
      <c r="E2" t="s">
        <v>538</v>
      </c>
      <c r="F2" s="3">
        <v>550000</v>
      </c>
    </row>
    <row r="3" spans="1:6" x14ac:dyDescent="0.25">
      <c r="A3" t="s">
        <v>539</v>
      </c>
      <c r="B3" t="s">
        <v>540</v>
      </c>
      <c r="C3" t="s">
        <v>541</v>
      </c>
      <c r="D3" s="4">
        <v>28432</v>
      </c>
      <c r="E3" t="s">
        <v>542</v>
      </c>
      <c r="F3" s="3">
        <v>450000</v>
      </c>
    </row>
    <row r="4" spans="1:6" x14ac:dyDescent="0.25">
      <c r="A4" t="s">
        <v>543</v>
      </c>
      <c r="B4" t="s">
        <v>544</v>
      </c>
      <c r="C4" t="s">
        <v>545</v>
      </c>
      <c r="D4" s="4">
        <v>28635</v>
      </c>
      <c r="E4" t="s">
        <v>546</v>
      </c>
      <c r="F4" s="3">
        <v>650000</v>
      </c>
    </row>
    <row r="5" spans="1:6" x14ac:dyDescent="0.25">
      <c r="A5" t="s">
        <v>547</v>
      </c>
      <c r="B5" t="s">
        <v>548</v>
      </c>
      <c r="C5" t="s">
        <v>549</v>
      </c>
      <c r="D5" s="4">
        <v>31809</v>
      </c>
      <c r="E5" t="s">
        <v>550</v>
      </c>
      <c r="F5" s="3">
        <v>400000</v>
      </c>
    </row>
    <row r="6" spans="1:6" x14ac:dyDescent="0.25">
      <c r="A6" t="s">
        <v>551</v>
      </c>
      <c r="B6" t="s">
        <v>552</v>
      </c>
      <c r="C6" t="s">
        <v>553</v>
      </c>
      <c r="D6" s="4">
        <v>29584</v>
      </c>
      <c r="E6" t="s">
        <v>554</v>
      </c>
      <c r="F6" s="3">
        <v>600000</v>
      </c>
    </row>
    <row r="7" spans="1:6" x14ac:dyDescent="0.25">
      <c r="A7" t="s">
        <v>555</v>
      </c>
      <c r="B7" t="s">
        <v>556</v>
      </c>
      <c r="C7" t="s">
        <v>557</v>
      </c>
      <c r="D7" s="4">
        <v>27655</v>
      </c>
      <c r="E7" t="s">
        <v>558</v>
      </c>
      <c r="F7" s="3">
        <v>700000</v>
      </c>
    </row>
    <row r="8" spans="1:6" x14ac:dyDescent="0.25">
      <c r="A8" t="s">
        <v>559</v>
      </c>
      <c r="B8" t="s">
        <v>560</v>
      </c>
      <c r="C8" t="s">
        <v>561</v>
      </c>
      <c r="D8" s="4">
        <v>33153</v>
      </c>
      <c r="E8" t="s">
        <v>562</v>
      </c>
      <c r="F8" s="3">
        <v>420000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36"/>
  <sheetViews>
    <sheetView topLeftCell="A522" workbookViewId="0">
      <selection activeCell="F15" sqref="F15"/>
    </sheetView>
  </sheetViews>
  <sheetFormatPr baseColWidth="10" defaultRowHeight="15" x14ac:dyDescent="0.25"/>
  <cols>
    <col min="2" max="2" width="53.7109375" customWidth="1"/>
  </cols>
  <sheetData>
    <row r="1" spans="1:3" x14ac:dyDescent="0.25">
      <c r="A1" s="22" t="s">
        <v>1207</v>
      </c>
      <c r="B1" s="22" t="s">
        <v>1208</v>
      </c>
      <c r="C1" s="22" t="s">
        <v>1209</v>
      </c>
    </row>
    <row r="2" spans="1:3" x14ac:dyDescent="0.25">
      <c r="A2" s="15">
        <v>1</v>
      </c>
      <c r="B2" s="2" t="s">
        <v>0</v>
      </c>
      <c r="C2" s="1">
        <v>100</v>
      </c>
    </row>
    <row r="3" spans="1:3" x14ac:dyDescent="0.25">
      <c r="A3" s="15">
        <v>2</v>
      </c>
      <c r="B3" s="2" t="s">
        <v>1</v>
      </c>
      <c r="C3" s="1">
        <v>100</v>
      </c>
    </row>
    <row r="4" spans="1:3" x14ac:dyDescent="0.25">
      <c r="A4" s="15">
        <v>3</v>
      </c>
      <c r="B4" s="2" t="s">
        <v>2</v>
      </c>
      <c r="C4" s="1">
        <v>150</v>
      </c>
    </row>
    <row r="5" spans="1:3" x14ac:dyDescent="0.25">
      <c r="A5" s="15">
        <v>4</v>
      </c>
      <c r="B5" s="2" t="s">
        <v>3</v>
      </c>
      <c r="C5" s="1">
        <v>150</v>
      </c>
    </row>
    <row r="6" spans="1:3" x14ac:dyDescent="0.25">
      <c r="A6" s="15">
        <v>5</v>
      </c>
      <c r="B6" s="2" t="s">
        <v>4</v>
      </c>
      <c r="C6" s="1">
        <v>200</v>
      </c>
    </row>
    <row r="7" spans="1:3" x14ac:dyDescent="0.25">
      <c r="A7" s="15">
        <v>6</v>
      </c>
      <c r="B7" s="2" t="s">
        <v>5</v>
      </c>
      <c r="C7" s="1">
        <v>200</v>
      </c>
    </row>
    <row r="8" spans="1:3" x14ac:dyDescent="0.25">
      <c r="A8" s="15">
        <v>7</v>
      </c>
      <c r="B8" s="2" t="s">
        <v>6</v>
      </c>
      <c r="C8" s="1">
        <v>50</v>
      </c>
    </row>
    <row r="9" spans="1:3" x14ac:dyDescent="0.25">
      <c r="A9" s="15">
        <v>8</v>
      </c>
      <c r="B9" s="2" t="s">
        <v>7</v>
      </c>
      <c r="C9" s="1">
        <v>1800</v>
      </c>
    </row>
    <row r="10" spans="1:3" x14ac:dyDescent="0.25">
      <c r="A10" s="15">
        <v>9</v>
      </c>
      <c r="B10" s="2" t="s">
        <v>8</v>
      </c>
      <c r="C10" s="1">
        <v>15000</v>
      </c>
    </row>
    <row r="11" spans="1:3" x14ac:dyDescent="0.25">
      <c r="A11" s="15">
        <v>10</v>
      </c>
      <c r="B11" s="2" t="s">
        <v>9</v>
      </c>
      <c r="C11" s="1">
        <v>50</v>
      </c>
    </row>
    <row r="12" spans="1:3" x14ac:dyDescent="0.25">
      <c r="A12" s="15">
        <v>11</v>
      </c>
      <c r="B12" s="2" t="s">
        <v>10</v>
      </c>
      <c r="C12" s="1">
        <v>1100</v>
      </c>
    </row>
    <row r="13" spans="1:3" x14ac:dyDescent="0.25">
      <c r="A13" s="15">
        <v>12</v>
      </c>
      <c r="B13" s="2" t="s">
        <v>11</v>
      </c>
      <c r="C13" s="1">
        <v>1500</v>
      </c>
    </row>
    <row r="14" spans="1:3" x14ac:dyDescent="0.25">
      <c r="A14" s="15">
        <v>13</v>
      </c>
      <c r="B14" s="2" t="s">
        <v>12</v>
      </c>
      <c r="C14" s="1">
        <v>1850</v>
      </c>
    </row>
    <row r="15" spans="1:3" x14ac:dyDescent="0.25">
      <c r="A15" s="15">
        <v>14</v>
      </c>
      <c r="B15" s="2" t="s">
        <v>13</v>
      </c>
      <c r="C15" s="1">
        <v>1000</v>
      </c>
    </row>
    <row r="16" spans="1:3" x14ac:dyDescent="0.25">
      <c r="A16" s="15">
        <v>15</v>
      </c>
      <c r="B16" s="2" t="s">
        <v>14</v>
      </c>
      <c r="C16" s="1">
        <v>1500</v>
      </c>
    </row>
    <row r="17" spans="1:3" x14ac:dyDescent="0.25">
      <c r="A17" s="15">
        <v>16</v>
      </c>
      <c r="B17" s="2" t="s">
        <v>15</v>
      </c>
      <c r="C17" s="1">
        <v>1200</v>
      </c>
    </row>
    <row r="18" spans="1:3" x14ac:dyDescent="0.25">
      <c r="A18" s="15">
        <v>17</v>
      </c>
      <c r="B18" s="2" t="s">
        <v>16</v>
      </c>
      <c r="C18" s="1">
        <v>2000</v>
      </c>
    </row>
    <row r="19" spans="1:3" x14ac:dyDescent="0.25">
      <c r="A19" s="15">
        <v>18</v>
      </c>
      <c r="B19" s="2" t="s">
        <v>17</v>
      </c>
      <c r="C19" s="1">
        <v>100</v>
      </c>
    </row>
    <row r="20" spans="1:3" x14ac:dyDescent="0.25">
      <c r="A20" s="15">
        <v>19</v>
      </c>
      <c r="B20" s="2" t="s">
        <v>18</v>
      </c>
      <c r="C20" s="1">
        <v>50</v>
      </c>
    </row>
    <row r="21" spans="1:3" x14ac:dyDescent="0.25">
      <c r="A21" s="15">
        <v>20</v>
      </c>
      <c r="B21" s="2" t="s">
        <v>19</v>
      </c>
      <c r="C21" s="1">
        <v>350</v>
      </c>
    </row>
    <row r="22" spans="1:3" x14ac:dyDescent="0.25">
      <c r="A22" s="15">
        <v>21</v>
      </c>
      <c r="B22" s="2" t="s">
        <v>20</v>
      </c>
      <c r="C22" s="1">
        <v>350</v>
      </c>
    </row>
    <row r="23" spans="1:3" x14ac:dyDescent="0.25">
      <c r="A23" s="15">
        <v>22</v>
      </c>
      <c r="B23" s="2" t="s">
        <v>21</v>
      </c>
      <c r="C23" s="1">
        <v>50</v>
      </c>
    </row>
    <row r="24" spans="1:3" x14ac:dyDescent="0.25">
      <c r="A24" s="15">
        <v>23</v>
      </c>
      <c r="B24" s="2" t="s">
        <v>22</v>
      </c>
      <c r="C24" s="1">
        <v>1200</v>
      </c>
    </row>
    <row r="25" spans="1:3" x14ac:dyDescent="0.25">
      <c r="A25" s="15">
        <v>24</v>
      </c>
      <c r="B25" s="2" t="s">
        <v>23</v>
      </c>
      <c r="C25" s="1">
        <v>1800</v>
      </c>
    </row>
    <row r="26" spans="1:3" x14ac:dyDescent="0.25">
      <c r="A26" s="15">
        <v>25</v>
      </c>
      <c r="B26" s="2" t="s">
        <v>24</v>
      </c>
      <c r="C26" s="1">
        <v>500</v>
      </c>
    </row>
    <row r="27" spans="1:3" x14ac:dyDescent="0.25">
      <c r="A27" s="15">
        <v>26</v>
      </c>
      <c r="B27" s="2" t="s">
        <v>25</v>
      </c>
      <c r="C27" s="1">
        <v>400</v>
      </c>
    </row>
    <row r="28" spans="1:3" x14ac:dyDescent="0.25">
      <c r="A28" s="15">
        <v>27</v>
      </c>
      <c r="B28" s="2" t="s">
        <v>26</v>
      </c>
      <c r="C28" s="1">
        <v>350</v>
      </c>
    </row>
    <row r="29" spans="1:3" x14ac:dyDescent="0.25">
      <c r="A29" s="15">
        <v>28</v>
      </c>
      <c r="B29" s="2" t="s">
        <v>27</v>
      </c>
      <c r="C29" s="1">
        <v>300</v>
      </c>
    </row>
    <row r="30" spans="1:3" x14ac:dyDescent="0.25">
      <c r="A30" s="15">
        <v>29</v>
      </c>
      <c r="B30" s="2" t="s">
        <v>28</v>
      </c>
      <c r="C30" s="1">
        <v>250</v>
      </c>
    </row>
    <row r="31" spans="1:3" x14ac:dyDescent="0.25">
      <c r="A31" s="15">
        <v>30</v>
      </c>
      <c r="B31" s="2" t="s">
        <v>29</v>
      </c>
      <c r="C31" s="1">
        <v>500</v>
      </c>
    </row>
    <row r="32" spans="1:3" x14ac:dyDescent="0.25">
      <c r="A32" s="15">
        <v>31</v>
      </c>
      <c r="B32" s="2" t="s">
        <v>30</v>
      </c>
      <c r="C32" s="1">
        <v>8123</v>
      </c>
    </row>
    <row r="33" spans="1:3" x14ac:dyDescent="0.25">
      <c r="A33" s="15">
        <v>32</v>
      </c>
      <c r="B33" s="2" t="s">
        <v>31</v>
      </c>
      <c r="C33" s="1">
        <v>14199</v>
      </c>
    </row>
    <row r="34" spans="1:3" x14ac:dyDescent="0.25">
      <c r="A34" s="15">
        <v>33</v>
      </c>
      <c r="B34" s="2" t="s">
        <v>32</v>
      </c>
      <c r="C34" s="1">
        <v>13866</v>
      </c>
    </row>
    <row r="35" spans="1:3" x14ac:dyDescent="0.25">
      <c r="A35" s="15">
        <v>34</v>
      </c>
      <c r="B35" s="2" t="s">
        <v>33</v>
      </c>
      <c r="C35" s="1">
        <v>17286</v>
      </c>
    </row>
    <row r="36" spans="1:3" x14ac:dyDescent="0.25">
      <c r="A36" s="15">
        <v>35</v>
      </c>
      <c r="B36" s="2" t="s">
        <v>34</v>
      </c>
      <c r="C36" s="1">
        <v>11571</v>
      </c>
    </row>
    <row r="37" spans="1:3" x14ac:dyDescent="0.25">
      <c r="A37" s="15">
        <v>36</v>
      </c>
      <c r="B37" s="2" t="s">
        <v>35</v>
      </c>
      <c r="C37" s="1">
        <v>6269</v>
      </c>
    </row>
    <row r="38" spans="1:3" x14ac:dyDescent="0.25">
      <c r="A38" s="15">
        <v>37</v>
      </c>
      <c r="B38" s="2" t="s">
        <v>36</v>
      </c>
      <c r="C38" s="1">
        <v>14991</v>
      </c>
    </row>
    <row r="39" spans="1:3" x14ac:dyDescent="0.25">
      <c r="A39" s="15">
        <v>38</v>
      </c>
      <c r="B39" s="2" t="s">
        <v>37</v>
      </c>
      <c r="C39" s="1">
        <v>5896</v>
      </c>
    </row>
    <row r="40" spans="1:3" x14ac:dyDescent="0.25">
      <c r="A40" s="15">
        <v>39</v>
      </c>
      <c r="B40" s="2" t="s">
        <v>38</v>
      </c>
      <c r="C40" s="1">
        <v>12572</v>
      </c>
    </row>
    <row r="41" spans="1:3" x14ac:dyDescent="0.25">
      <c r="A41" s="15">
        <v>40</v>
      </c>
      <c r="B41" s="2" t="s">
        <v>39</v>
      </c>
      <c r="C41" s="1">
        <v>19985</v>
      </c>
    </row>
    <row r="42" spans="1:3" x14ac:dyDescent="0.25">
      <c r="A42" s="15">
        <v>41</v>
      </c>
      <c r="B42" s="2" t="s">
        <v>40</v>
      </c>
      <c r="C42" s="1">
        <v>13598</v>
      </c>
    </row>
    <row r="43" spans="1:3" x14ac:dyDescent="0.25">
      <c r="A43" s="15">
        <v>42</v>
      </c>
      <c r="B43" s="2" t="s">
        <v>41</v>
      </c>
      <c r="C43" s="1">
        <v>6031</v>
      </c>
    </row>
    <row r="44" spans="1:3" x14ac:dyDescent="0.25">
      <c r="A44" s="15">
        <v>43</v>
      </c>
      <c r="B44" s="2" t="s">
        <v>42</v>
      </c>
      <c r="C44" s="1">
        <v>7957</v>
      </c>
    </row>
    <row r="45" spans="1:3" x14ac:dyDescent="0.25">
      <c r="A45" s="15">
        <v>44</v>
      </c>
      <c r="B45" s="2" t="s">
        <v>43</v>
      </c>
      <c r="C45" s="1">
        <v>6257</v>
      </c>
    </row>
    <row r="46" spans="1:3" x14ac:dyDescent="0.25">
      <c r="A46" s="15">
        <v>45</v>
      </c>
      <c r="B46" s="2" t="s">
        <v>44</v>
      </c>
      <c r="C46" s="1">
        <v>3514</v>
      </c>
    </row>
    <row r="47" spans="1:3" x14ac:dyDescent="0.25">
      <c r="A47" s="15">
        <v>46</v>
      </c>
      <c r="B47" s="2" t="s">
        <v>45</v>
      </c>
      <c r="C47" s="1">
        <v>10382</v>
      </c>
    </row>
    <row r="48" spans="1:3" x14ac:dyDescent="0.25">
      <c r="A48" s="15">
        <v>47</v>
      </c>
      <c r="B48" s="2" t="s">
        <v>46</v>
      </c>
      <c r="C48" s="1">
        <v>16789</v>
      </c>
    </row>
    <row r="49" spans="1:3" x14ac:dyDescent="0.25">
      <c r="A49" s="15">
        <v>48</v>
      </c>
      <c r="B49" s="2" t="s">
        <v>47</v>
      </c>
      <c r="C49" s="1">
        <v>11380</v>
      </c>
    </row>
    <row r="50" spans="1:3" x14ac:dyDescent="0.25">
      <c r="A50" s="15">
        <v>49</v>
      </c>
      <c r="B50" s="2" t="s">
        <v>48</v>
      </c>
      <c r="C50" s="1">
        <v>5521</v>
      </c>
    </row>
    <row r="51" spans="1:3" x14ac:dyDescent="0.25">
      <c r="A51" s="15">
        <v>50</v>
      </c>
      <c r="B51" s="2" t="s">
        <v>49</v>
      </c>
      <c r="C51" s="1">
        <v>16281</v>
      </c>
    </row>
    <row r="52" spans="1:3" x14ac:dyDescent="0.25">
      <c r="A52" s="15">
        <v>51</v>
      </c>
      <c r="B52" s="2" t="s">
        <v>50</v>
      </c>
      <c r="C52" s="1">
        <v>3904</v>
      </c>
    </row>
    <row r="53" spans="1:3" x14ac:dyDescent="0.25">
      <c r="A53" s="15">
        <v>52</v>
      </c>
      <c r="B53" s="2" t="s">
        <v>51</v>
      </c>
      <c r="C53" s="1">
        <v>3111</v>
      </c>
    </row>
    <row r="54" spans="1:3" x14ac:dyDescent="0.25">
      <c r="A54" s="15">
        <v>53</v>
      </c>
      <c r="B54" s="2" t="s">
        <v>52</v>
      </c>
      <c r="C54" s="1">
        <v>2017</v>
      </c>
    </row>
    <row r="55" spans="1:3" x14ac:dyDescent="0.25">
      <c r="A55" s="15">
        <v>54</v>
      </c>
      <c r="B55" s="2" t="s">
        <v>53</v>
      </c>
      <c r="C55" s="1">
        <v>6622</v>
      </c>
    </row>
    <row r="56" spans="1:3" x14ac:dyDescent="0.25">
      <c r="A56" s="15">
        <v>55</v>
      </c>
      <c r="B56" s="2" t="s">
        <v>54</v>
      </c>
      <c r="C56" s="1">
        <v>10799</v>
      </c>
    </row>
    <row r="57" spans="1:3" x14ac:dyDescent="0.25">
      <c r="A57" s="15">
        <v>56</v>
      </c>
      <c r="B57" s="2" t="s">
        <v>55</v>
      </c>
      <c r="C57" s="1">
        <v>6363</v>
      </c>
    </row>
    <row r="58" spans="1:3" x14ac:dyDescent="0.25">
      <c r="A58" s="15">
        <v>57</v>
      </c>
      <c r="B58" s="2" t="s">
        <v>56</v>
      </c>
      <c r="C58" s="1">
        <v>14618</v>
      </c>
    </row>
    <row r="59" spans="1:3" x14ac:dyDescent="0.25">
      <c r="A59" s="15">
        <v>58</v>
      </c>
      <c r="B59" s="2" t="s">
        <v>57</v>
      </c>
      <c r="C59" s="1">
        <v>16341</v>
      </c>
    </row>
    <row r="60" spans="1:3" x14ac:dyDescent="0.25">
      <c r="A60" s="15">
        <v>59</v>
      </c>
      <c r="B60" s="2" t="s">
        <v>58</v>
      </c>
      <c r="C60" s="1">
        <v>19765</v>
      </c>
    </row>
    <row r="61" spans="1:3" x14ac:dyDescent="0.25">
      <c r="A61" s="15">
        <v>60</v>
      </c>
      <c r="B61" s="2" t="s">
        <v>59</v>
      </c>
      <c r="C61" s="1">
        <v>10062</v>
      </c>
    </row>
    <row r="62" spans="1:3" x14ac:dyDescent="0.25">
      <c r="A62" s="15">
        <v>61</v>
      </c>
      <c r="B62" s="2" t="s">
        <v>60</v>
      </c>
      <c r="C62" s="1">
        <v>4111</v>
      </c>
    </row>
    <row r="63" spans="1:3" x14ac:dyDescent="0.25">
      <c r="A63" s="15">
        <v>62</v>
      </c>
      <c r="B63" s="2" t="s">
        <v>61</v>
      </c>
      <c r="C63" s="1">
        <v>12712</v>
      </c>
    </row>
    <row r="64" spans="1:3" x14ac:dyDescent="0.25">
      <c r="A64" s="15">
        <v>63</v>
      </c>
      <c r="B64" s="2" t="s">
        <v>62</v>
      </c>
      <c r="C64" s="1">
        <v>5437</v>
      </c>
    </row>
    <row r="65" spans="1:3" x14ac:dyDescent="0.25">
      <c r="A65" s="15">
        <v>64</v>
      </c>
      <c r="B65" s="2" t="s">
        <v>63</v>
      </c>
      <c r="C65" s="1">
        <v>5127</v>
      </c>
    </row>
    <row r="66" spans="1:3" x14ac:dyDescent="0.25">
      <c r="A66" s="15">
        <v>65</v>
      </c>
      <c r="B66" s="2" t="s">
        <v>64</v>
      </c>
      <c r="C66" s="1">
        <v>14038</v>
      </c>
    </row>
    <row r="67" spans="1:3" x14ac:dyDescent="0.25">
      <c r="A67" s="15">
        <v>66</v>
      </c>
      <c r="B67" s="2" t="s">
        <v>65</v>
      </c>
      <c r="C67" s="1">
        <v>977</v>
      </c>
    </row>
    <row r="68" spans="1:3" x14ac:dyDescent="0.25">
      <c r="A68" s="15">
        <v>67</v>
      </c>
      <c r="B68" s="2" t="s">
        <v>66</v>
      </c>
      <c r="C68" s="1">
        <v>16514</v>
      </c>
    </row>
    <row r="69" spans="1:3" x14ac:dyDescent="0.25">
      <c r="A69" s="15">
        <v>68</v>
      </c>
      <c r="B69" s="2" t="s">
        <v>67</v>
      </c>
      <c r="C69" s="1">
        <v>10242</v>
      </c>
    </row>
    <row r="70" spans="1:3" x14ac:dyDescent="0.25">
      <c r="A70" s="15">
        <v>69</v>
      </c>
      <c r="B70" s="2" t="s">
        <v>68</v>
      </c>
      <c r="C70" s="1">
        <v>13905</v>
      </c>
    </row>
    <row r="71" spans="1:3" x14ac:dyDescent="0.25">
      <c r="A71" s="15">
        <v>70</v>
      </c>
      <c r="B71" s="2" t="s">
        <v>69</v>
      </c>
      <c r="C71" s="1">
        <v>5891</v>
      </c>
    </row>
    <row r="72" spans="1:3" x14ac:dyDescent="0.25">
      <c r="A72" s="15">
        <v>71</v>
      </c>
      <c r="B72" s="2" t="s">
        <v>70</v>
      </c>
      <c r="C72" s="1">
        <v>14562</v>
      </c>
    </row>
    <row r="73" spans="1:3" x14ac:dyDescent="0.25">
      <c r="A73" s="15">
        <v>72</v>
      </c>
      <c r="B73" s="2" t="s">
        <v>71</v>
      </c>
      <c r="C73" s="1">
        <v>11699</v>
      </c>
    </row>
    <row r="74" spans="1:3" x14ac:dyDescent="0.25">
      <c r="A74" s="15">
        <v>73</v>
      </c>
      <c r="B74" s="2" t="s">
        <v>72</v>
      </c>
      <c r="C74" s="1">
        <v>12005</v>
      </c>
    </row>
    <row r="75" spans="1:3" x14ac:dyDescent="0.25">
      <c r="A75" s="15">
        <v>74</v>
      </c>
      <c r="B75" s="2" t="s">
        <v>73</v>
      </c>
      <c r="C75" s="1">
        <v>11505</v>
      </c>
    </row>
    <row r="76" spans="1:3" x14ac:dyDescent="0.25">
      <c r="A76" s="15">
        <v>75</v>
      </c>
      <c r="B76" s="2" t="s">
        <v>74</v>
      </c>
      <c r="C76" s="1">
        <v>18637</v>
      </c>
    </row>
    <row r="77" spans="1:3" x14ac:dyDescent="0.25">
      <c r="A77" s="15">
        <v>76</v>
      </c>
      <c r="B77" s="2" t="s">
        <v>75</v>
      </c>
      <c r="C77" s="1">
        <v>1509</v>
      </c>
    </row>
    <row r="78" spans="1:3" x14ac:dyDescent="0.25">
      <c r="A78" s="15">
        <v>77</v>
      </c>
      <c r="B78" s="2" t="s">
        <v>76</v>
      </c>
      <c r="C78" s="1">
        <v>19416</v>
      </c>
    </row>
    <row r="79" spans="1:3" x14ac:dyDescent="0.25">
      <c r="A79" s="15">
        <v>78</v>
      </c>
      <c r="B79" s="2" t="s">
        <v>77</v>
      </c>
      <c r="C79" s="1">
        <v>19198</v>
      </c>
    </row>
    <row r="80" spans="1:3" x14ac:dyDescent="0.25">
      <c r="A80" s="15">
        <v>79</v>
      </c>
      <c r="B80" s="2" t="s">
        <v>78</v>
      </c>
      <c r="C80" s="1">
        <v>4373</v>
      </c>
    </row>
    <row r="81" spans="1:3" x14ac:dyDescent="0.25">
      <c r="A81" s="15">
        <v>80</v>
      </c>
      <c r="B81" s="2" t="s">
        <v>79</v>
      </c>
      <c r="C81" s="1">
        <v>18270</v>
      </c>
    </row>
    <row r="82" spans="1:3" x14ac:dyDescent="0.25">
      <c r="A82" s="15">
        <v>81</v>
      </c>
      <c r="B82" s="2" t="s">
        <v>80</v>
      </c>
      <c r="C82" s="1">
        <v>991</v>
      </c>
    </row>
    <row r="83" spans="1:3" x14ac:dyDescent="0.25">
      <c r="A83" s="15">
        <v>82</v>
      </c>
      <c r="B83" s="2" t="s">
        <v>81</v>
      </c>
      <c r="C83" s="1">
        <v>15733</v>
      </c>
    </row>
    <row r="84" spans="1:3" x14ac:dyDescent="0.25">
      <c r="A84" s="15">
        <v>83</v>
      </c>
      <c r="B84" s="2" t="s">
        <v>82</v>
      </c>
      <c r="C84" s="1">
        <v>9732</v>
      </c>
    </row>
    <row r="85" spans="1:3" x14ac:dyDescent="0.25">
      <c r="A85" s="15">
        <v>84</v>
      </c>
      <c r="B85" s="2" t="s">
        <v>83</v>
      </c>
      <c r="C85" s="1">
        <v>11817</v>
      </c>
    </row>
    <row r="86" spans="1:3" x14ac:dyDescent="0.25">
      <c r="A86" s="15">
        <v>85</v>
      </c>
      <c r="B86" s="2" t="s">
        <v>84</v>
      </c>
      <c r="C86" s="1">
        <v>7336</v>
      </c>
    </row>
    <row r="87" spans="1:3" x14ac:dyDescent="0.25">
      <c r="A87" s="15">
        <v>86</v>
      </c>
      <c r="B87" s="2" t="s">
        <v>85</v>
      </c>
      <c r="C87" s="1">
        <v>6958</v>
      </c>
    </row>
    <row r="88" spans="1:3" x14ac:dyDescent="0.25">
      <c r="A88" s="15">
        <v>87</v>
      </c>
      <c r="B88" s="2" t="s">
        <v>86</v>
      </c>
      <c r="C88" s="1">
        <v>985</v>
      </c>
    </row>
    <row r="89" spans="1:3" x14ac:dyDescent="0.25">
      <c r="A89" s="15">
        <v>88</v>
      </c>
      <c r="B89" s="2" t="s">
        <v>87</v>
      </c>
      <c r="C89" s="1">
        <v>5621</v>
      </c>
    </row>
    <row r="90" spans="1:3" x14ac:dyDescent="0.25">
      <c r="A90" s="15">
        <v>89</v>
      </c>
      <c r="B90" s="2" t="s">
        <v>88</v>
      </c>
      <c r="C90" s="1">
        <v>15482</v>
      </c>
    </row>
    <row r="91" spans="1:3" x14ac:dyDescent="0.25">
      <c r="A91" s="15">
        <v>90</v>
      </c>
      <c r="B91" s="2" t="s">
        <v>89</v>
      </c>
      <c r="C91" s="1">
        <v>2113</v>
      </c>
    </row>
    <row r="92" spans="1:3" x14ac:dyDescent="0.25">
      <c r="A92" s="15">
        <v>91</v>
      </c>
      <c r="B92" s="2" t="s">
        <v>90</v>
      </c>
      <c r="C92" s="1">
        <v>10783</v>
      </c>
    </row>
    <row r="93" spans="1:3" x14ac:dyDescent="0.25">
      <c r="A93" s="15">
        <v>92</v>
      </c>
      <c r="B93" s="2" t="s">
        <v>91</v>
      </c>
      <c r="C93" s="1">
        <v>4875</v>
      </c>
    </row>
    <row r="94" spans="1:3" x14ac:dyDescent="0.25">
      <c r="A94" s="15">
        <v>93</v>
      </c>
      <c r="B94" s="2" t="s">
        <v>92</v>
      </c>
      <c r="C94" s="1">
        <v>18578</v>
      </c>
    </row>
    <row r="95" spans="1:3" x14ac:dyDescent="0.25">
      <c r="A95" s="15">
        <v>94</v>
      </c>
      <c r="B95" s="2" t="s">
        <v>93</v>
      </c>
      <c r="C95" s="1">
        <v>11847</v>
      </c>
    </row>
    <row r="96" spans="1:3" x14ac:dyDescent="0.25">
      <c r="A96" s="15">
        <v>95</v>
      </c>
      <c r="B96" s="2" t="s">
        <v>94</v>
      </c>
      <c r="C96" s="1">
        <v>18960</v>
      </c>
    </row>
    <row r="97" spans="1:3" x14ac:dyDescent="0.25">
      <c r="A97" s="15">
        <v>96</v>
      </c>
      <c r="B97" s="2" t="s">
        <v>95</v>
      </c>
      <c r="C97" s="1">
        <v>4964</v>
      </c>
    </row>
    <row r="98" spans="1:3" x14ac:dyDescent="0.25">
      <c r="A98" s="15">
        <v>97</v>
      </c>
      <c r="B98" s="2" t="s">
        <v>96</v>
      </c>
      <c r="C98" s="1">
        <v>3152</v>
      </c>
    </row>
    <row r="99" spans="1:3" x14ac:dyDescent="0.25">
      <c r="A99" s="15">
        <v>98</v>
      </c>
      <c r="B99" s="2" t="s">
        <v>97</v>
      </c>
      <c r="C99" s="1">
        <v>9372</v>
      </c>
    </row>
    <row r="100" spans="1:3" x14ac:dyDescent="0.25">
      <c r="A100" s="15">
        <v>99</v>
      </c>
      <c r="B100" s="2" t="s">
        <v>98</v>
      </c>
      <c r="C100" s="1">
        <v>8773</v>
      </c>
    </row>
    <row r="101" spans="1:3" x14ac:dyDescent="0.25">
      <c r="A101" s="15">
        <v>100</v>
      </c>
      <c r="B101" s="2" t="s">
        <v>99</v>
      </c>
      <c r="C101" s="1">
        <v>4929</v>
      </c>
    </row>
    <row r="102" spans="1:3" x14ac:dyDescent="0.25">
      <c r="A102" s="15">
        <v>101</v>
      </c>
      <c r="B102" s="2" t="s">
        <v>100</v>
      </c>
      <c r="C102" s="1">
        <v>17487</v>
      </c>
    </row>
    <row r="103" spans="1:3" x14ac:dyDescent="0.25">
      <c r="A103" s="15">
        <v>102</v>
      </c>
      <c r="B103" s="2" t="s">
        <v>101</v>
      </c>
      <c r="C103" s="1">
        <v>3444</v>
      </c>
    </row>
    <row r="104" spans="1:3" x14ac:dyDescent="0.25">
      <c r="A104" s="15">
        <v>103</v>
      </c>
      <c r="B104" s="2" t="s">
        <v>102</v>
      </c>
      <c r="C104" s="1">
        <v>5567</v>
      </c>
    </row>
    <row r="105" spans="1:3" x14ac:dyDescent="0.25">
      <c r="A105" s="15">
        <v>104</v>
      </c>
      <c r="B105" s="2" t="s">
        <v>103</v>
      </c>
      <c r="C105" s="1">
        <v>19504</v>
      </c>
    </row>
    <row r="106" spans="1:3" x14ac:dyDescent="0.25">
      <c r="A106" s="15">
        <v>105</v>
      </c>
      <c r="B106" s="2" t="s">
        <v>104</v>
      </c>
      <c r="C106" s="1">
        <v>13822</v>
      </c>
    </row>
    <row r="107" spans="1:3" x14ac:dyDescent="0.25">
      <c r="A107" s="15">
        <v>106</v>
      </c>
      <c r="B107" s="2" t="s">
        <v>105</v>
      </c>
      <c r="C107" s="1">
        <v>13371</v>
      </c>
    </row>
    <row r="108" spans="1:3" x14ac:dyDescent="0.25">
      <c r="A108" s="15">
        <v>107</v>
      </c>
      <c r="B108" s="2" t="s">
        <v>106</v>
      </c>
      <c r="C108" s="1">
        <v>9776</v>
      </c>
    </row>
    <row r="109" spans="1:3" x14ac:dyDescent="0.25">
      <c r="A109" s="15">
        <v>108</v>
      </c>
      <c r="B109" s="2" t="s">
        <v>107</v>
      </c>
      <c r="C109" s="1">
        <v>9944</v>
      </c>
    </row>
    <row r="110" spans="1:3" x14ac:dyDescent="0.25">
      <c r="A110" s="15">
        <v>109</v>
      </c>
      <c r="B110" s="2" t="s">
        <v>108</v>
      </c>
      <c r="C110" s="1">
        <v>7841</v>
      </c>
    </row>
    <row r="111" spans="1:3" x14ac:dyDescent="0.25">
      <c r="A111" s="15">
        <v>110</v>
      </c>
      <c r="B111" s="2" t="s">
        <v>109</v>
      </c>
      <c r="C111" s="1">
        <v>13239</v>
      </c>
    </row>
    <row r="112" spans="1:3" x14ac:dyDescent="0.25">
      <c r="A112" s="15">
        <v>111</v>
      </c>
      <c r="B112" s="2" t="s">
        <v>110</v>
      </c>
      <c r="C112" s="1">
        <v>8780</v>
      </c>
    </row>
    <row r="113" spans="1:3" x14ac:dyDescent="0.25">
      <c r="A113" s="15">
        <v>112</v>
      </c>
      <c r="B113" s="2" t="s">
        <v>111</v>
      </c>
      <c r="C113" s="1">
        <v>3726</v>
      </c>
    </row>
    <row r="114" spans="1:3" x14ac:dyDescent="0.25">
      <c r="A114" s="15">
        <v>113</v>
      </c>
      <c r="B114" s="2" t="s">
        <v>112</v>
      </c>
      <c r="C114" s="1">
        <v>2547</v>
      </c>
    </row>
    <row r="115" spans="1:3" x14ac:dyDescent="0.25">
      <c r="A115" s="15">
        <v>114</v>
      </c>
      <c r="B115" s="2" t="s">
        <v>113</v>
      </c>
      <c r="C115" s="1">
        <v>7962</v>
      </c>
    </row>
    <row r="116" spans="1:3" x14ac:dyDescent="0.25">
      <c r="A116" s="15">
        <v>115</v>
      </c>
      <c r="B116" s="2" t="s">
        <v>114</v>
      </c>
      <c r="C116" s="1">
        <v>6381</v>
      </c>
    </row>
    <row r="117" spans="1:3" x14ac:dyDescent="0.25">
      <c r="A117" s="15">
        <v>116</v>
      </c>
      <c r="B117" s="2" t="s">
        <v>115</v>
      </c>
      <c r="C117" s="1">
        <v>11014</v>
      </c>
    </row>
    <row r="118" spans="1:3" x14ac:dyDescent="0.25">
      <c r="A118" s="15">
        <v>117</v>
      </c>
      <c r="B118" s="2" t="s">
        <v>116</v>
      </c>
      <c r="C118" s="1">
        <v>12314</v>
      </c>
    </row>
    <row r="119" spans="1:3" x14ac:dyDescent="0.25">
      <c r="A119" s="15">
        <v>118</v>
      </c>
      <c r="B119" s="2" t="s">
        <v>117</v>
      </c>
      <c r="C119" s="1">
        <v>1277</v>
      </c>
    </row>
    <row r="120" spans="1:3" x14ac:dyDescent="0.25">
      <c r="A120" s="15">
        <v>119</v>
      </c>
      <c r="B120" s="2" t="s">
        <v>118</v>
      </c>
      <c r="C120" s="1">
        <v>11204</v>
      </c>
    </row>
    <row r="121" spans="1:3" x14ac:dyDescent="0.25">
      <c r="A121" s="15">
        <v>120</v>
      </c>
      <c r="B121" s="2" t="s">
        <v>119</v>
      </c>
      <c r="C121" s="1">
        <v>13748</v>
      </c>
    </row>
    <row r="122" spans="1:3" x14ac:dyDescent="0.25">
      <c r="A122" s="15">
        <v>121</v>
      </c>
      <c r="B122" s="2" t="s">
        <v>120</v>
      </c>
      <c r="C122" s="1">
        <v>9771</v>
      </c>
    </row>
    <row r="123" spans="1:3" x14ac:dyDescent="0.25">
      <c r="A123" s="15">
        <v>122</v>
      </c>
      <c r="B123" s="2" t="s">
        <v>121</v>
      </c>
      <c r="C123" s="1">
        <v>7389</v>
      </c>
    </row>
    <row r="124" spans="1:3" x14ac:dyDescent="0.25">
      <c r="A124" s="15">
        <v>123</v>
      </c>
      <c r="B124" s="2" t="s">
        <v>122</v>
      </c>
      <c r="C124" s="1">
        <v>6143</v>
      </c>
    </row>
    <row r="125" spans="1:3" x14ac:dyDescent="0.25">
      <c r="A125" s="15">
        <v>124</v>
      </c>
      <c r="B125" s="2" t="s">
        <v>123</v>
      </c>
      <c r="C125" s="1">
        <v>19049</v>
      </c>
    </row>
    <row r="126" spans="1:3" x14ac:dyDescent="0.25">
      <c r="A126" s="15">
        <v>125</v>
      </c>
      <c r="B126" s="2" t="s">
        <v>124</v>
      </c>
      <c r="C126" s="1">
        <v>4118</v>
      </c>
    </row>
    <row r="127" spans="1:3" x14ac:dyDescent="0.25">
      <c r="A127" s="15">
        <v>126</v>
      </c>
      <c r="B127" s="2" t="s">
        <v>125</v>
      </c>
      <c r="C127" s="1">
        <v>3320</v>
      </c>
    </row>
    <row r="128" spans="1:3" x14ac:dyDescent="0.25">
      <c r="A128" s="15">
        <v>127</v>
      </c>
      <c r="B128" s="2" t="s">
        <v>126</v>
      </c>
      <c r="C128" s="1">
        <v>2497</v>
      </c>
    </row>
    <row r="129" spans="1:3" x14ac:dyDescent="0.25">
      <c r="A129" s="15">
        <v>128</v>
      </c>
      <c r="B129" s="2" t="s">
        <v>127</v>
      </c>
      <c r="C129" s="1">
        <v>2745</v>
      </c>
    </row>
    <row r="130" spans="1:3" x14ac:dyDescent="0.25">
      <c r="A130" s="15">
        <v>129</v>
      </c>
      <c r="B130" s="2" t="s">
        <v>128</v>
      </c>
      <c r="C130" s="1">
        <v>6996</v>
      </c>
    </row>
    <row r="131" spans="1:3" x14ac:dyDescent="0.25">
      <c r="A131" s="15">
        <v>130</v>
      </c>
      <c r="B131" s="2" t="s">
        <v>129</v>
      </c>
      <c r="C131" s="1">
        <v>13917</v>
      </c>
    </row>
    <row r="132" spans="1:3" x14ac:dyDescent="0.25">
      <c r="A132" s="15">
        <v>131</v>
      </c>
      <c r="B132" s="2" t="s">
        <v>130</v>
      </c>
      <c r="C132" s="1">
        <v>6053</v>
      </c>
    </row>
    <row r="133" spans="1:3" x14ac:dyDescent="0.25">
      <c r="A133" s="15">
        <v>132</v>
      </c>
      <c r="B133" s="2" t="s">
        <v>131</v>
      </c>
      <c r="C133" s="1">
        <v>6334</v>
      </c>
    </row>
    <row r="134" spans="1:3" x14ac:dyDescent="0.25">
      <c r="A134" s="15">
        <v>133</v>
      </c>
      <c r="B134" s="2" t="s">
        <v>132</v>
      </c>
      <c r="C134" s="1">
        <v>10917</v>
      </c>
    </row>
    <row r="135" spans="1:3" x14ac:dyDescent="0.25">
      <c r="A135" s="15">
        <v>134</v>
      </c>
      <c r="B135" s="2" t="s">
        <v>133</v>
      </c>
      <c r="C135" s="1">
        <v>13585</v>
      </c>
    </row>
    <row r="136" spans="1:3" x14ac:dyDescent="0.25">
      <c r="A136" s="15">
        <v>135</v>
      </c>
      <c r="B136" s="2" t="s">
        <v>134</v>
      </c>
      <c r="C136" s="1">
        <v>4243</v>
      </c>
    </row>
    <row r="137" spans="1:3" x14ac:dyDescent="0.25">
      <c r="A137" s="15">
        <v>136</v>
      </c>
      <c r="B137" s="2" t="s">
        <v>135</v>
      </c>
      <c r="C137" s="1">
        <v>10090</v>
      </c>
    </row>
    <row r="138" spans="1:3" x14ac:dyDescent="0.25">
      <c r="A138" s="15">
        <v>137</v>
      </c>
      <c r="B138" s="2" t="s">
        <v>136</v>
      </c>
      <c r="C138" s="1">
        <v>15178</v>
      </c>
    </row>
    <row r="139" spans="1:3" x14ac:dyDescent="0.25">
      <c r="A139" s="15">
        <v>138</v>
      </c>
      <c r="B139" s="2" t="s">
        <v>137</v>
      </c>
      <c r="C139" s="1">
        <v>10545</v>
      </c>
    </row>
    <row r="140" spans="1:3" x14ac:dyDescent="0.25">
      <c r="A140" s="15">
        <v>139</v>
      </c>
      <c r="B140" s="2" t="s">
        <v>138</v>
      </c>
      <c r="C140" s="1">
        <v>16515</v>
      </c>
    </row>
    <row r="141" spans="1:3" x14ac:dyDescent="0.25">
      <c r="A141" s="15">
        <v>140</v>
      </c>
      <c r="B141" s="2" t="s">
        <v>139</v>
      </c>
      <c r="C141" s="1">
        <v>807</v>
      </c>
    </row>
    <row r="142" spans="1:3" x14ac:dyDescent="0.25">
      <c r="A142" s="15">
        <v>141</v>
      </c>
      <c r="B142" s="2" t="s">
        <v>140</v>
      </c>
      <c r="C142" s="1">
        <v>19459</v>
      </c>
    </row>
    <row r="143" spans="1:3" x14ac:dyDescent="0.25">
      <c r="A143" s="15">
        <v>142</v>
      </c>
      <c r="B143" s="2" t="s">
        <v>141</v>
      </c>
      <c r="C143" s="1">
        <v>8736</v>
      </c>
    </row>
    <row r="144" spans="1:3" x14ac:dyDescent="0.25">
      <c r="A144" s="15">
        <v>143</v>
      </c>
      <c r="B144" s="2" t="s">
        <v>142</v>
      </c>
      <c r="C144" s="1">
        <v>18771</v>
      </c>
    </row>
    <row r="145" spans="1:3" x14ac:dyDescent="0.25">
      <c r="A145" s="15">
        <v>144</v>
      </c>
      <c r="B145" s="2" t="s">
        <v>143</v>
      </c>
      <c r="C145" s="1">
        <v>9579</v>
      </c>
    </row>
    <row r="146" spans="1:3" x14ac:dyDescent="0.25">
      <c r="A146" s="15">
        <v>145</v>
      </c>
      <c r="B146" s="2" t="s">
        <v>144</v>
      </c>
      <c r="C146" s="1">
        <v>7431</v>
      </c>
    </row>
    <row r="147" spans="1:3" x14ac:dyDescent="0.25">
      <c r="A147" s="15">
        <v>146</v>
      </c>
      <c r="B147" s="2" t="s">
        <v>145</v>
      </c>
      <c r="C147" s="1">
        <v>10658</v>
      </c>
    </row>
    <row r="148" spans="1:3" x14ac:dyDescent="0.25">
      <c r="A148" s="15">
        <v>147</v>
      </c>
      <c r="B148" s="2" t="s">
        <v>146</v>
      </c>
      <c r="C148" s="1">
        <v>3741</v>
      </c>
    </row>
    <row r="149" spans="1:3" x14ac:dyDescent="0.25">
      <c r="A149" s="15">
        <v>148</v>
      </c>
      <c r="B149" s="2" t="s">
        <v>147</v>
      </c>
      <c r="C149" s="1">
        <v>12410</v>
      </c>
    </row>
    <row r="150" spans="1:3" x14ac:dyDescent="0.25">
      <c r="A150" s="15">
        <v>149</v>
      </c>
      <c r="B150" s="2" t="s">
        <v>148</v>
      </c>
      <c r="C150" s="1">
        <v>17891</v>
      </c>
    </row>
    <row r="151" spans="1:3" x14ac:dyDescent="0.25">
      <c r="A151" s="15">
        <v>150</v>
      </c>
      <c r="B151" s="2" t="s">
        <v>149</v>
      </c>
      <c r="C151" s="1">
        <v>14162</v>
      </c>
    </row>
    <row r="152" spans="1:3" x14ac:dyDescent="0.25">
      <c r="A152" s="15">
        <v>151</v>
      </c>
      <c r="B152" s="2" t="s">
        <v>150</v>
      </c>
      <c r="C152" s="1">
        <v>11588</v>
      </c>
    </row>
    <row r="153" spans="1:3" x14ac:dyDescent="0.25">
      <c r="A153" s="15">
        <v>152</v>
      </c>
      <c r="B153" s="2" t="s">
        <v>151</v>
      </c>
      <c r="C153" s="1">
        <v>1095</v>
      </c>
    </row>
    <row r="154" spans="1:3" x14ac:dyDescent="0.25">
      <c r="A154" s="15">
        <v>153</v>
      </c>
      <c r="B154" s="2" t="s">
        <v>152</v>
      </c>
      <c r="C154" s="1">
        <v>15247</v>
      </c>
    </row>
    <row r="155" spans="1:3" x14ac:dyDescent="0.25">
      <c r="A155" s="15">
        <v>154</v>
      </c>
      <c r="B155" s="2" t="s">
        <v>153</v>
      </c>
      <c r="C155" s="1">
        <v>14534</v>
      </c>
    </row>
    <row r="156" spans="1:3" x14ac:dyDescent="0.25">
      <c r="A156" s="15">
        <v>155</v>
      </c>
      <c r="B156" s="2" t="s">
        <v>154</v>
      </c>
      <c r="C156" s="1">
        <v>10888</v>
      </c>
    </row>
    <row r="157" spans="1:3" x14ac:dyDescent="0.25">
      <c r="A157" s="15">
        <v>156</v>
      </c>
      <c r="B157" s="2" t="s">
        <v>155</v>
      </c>
      <c r="C157" s="1">
        <v>993</v>
      </c>
    </row>
    <row r="158" spans="1:3" x14ac:dyDescent="0.25">
      <c r="A158" s="15">
        <v>157</v>
      </c>
      <c r="B158" s="2" t="s">
        <v>156</v>
      </c>
      <c r="C158" s="1">
        <v>14827</v>
      </c>
    </row>
    <row r="159" spans="1:3" x14ac:dyDescent="0.25">
      <c r="A159" s="15">
        <v>158</v>
      </c>
      <c r="B159" s="2" t="s">
        <v>157</v>
      </c>
      <c r="C159" s="1">
        <v>18294</v>
      </c>
    </row>
    <row r="160" spans="1:3" x14ac:dyDescent="0.25">
      <c r="A160" s="15">
        <v>159</v>
      </c>
      <c r="B160" s="2" t="s">
        <v>158</v>
      </c>
      <c r="C160" s="1">
        <v>6052</v>
      </c>
    </row>
    <row r="161" spans="1:3" x14ac:dyDescent="0.25">
      <c r="A161" s="15">
        <v>160</v>
      </c>
      <c r="B161" s="2" t="s">
        <v>159</v>
      </c>
      <c r="C161" s="1">
        <v>11692</v>
      </c>
    </row>
    <row r="162" spans="1:3" x14ac:dyDescent="0.25">
      <c r="A162" s="15">
        <v>161</v>
      </c>
      <c r="B162" s="2" t="s">
        <v>160</v>
      </c>
      <c r="C162" s="1">
        <v>10837</v>
      </c>
    </row>
    <row r="163" spans="1:3" x14ac:dyDescent="0.25">
      <c r="A163" s="15">
        <v>162</v>
      </c>
      <c r="B163" s="2" t="s">
        <v>161</v>
      </c>
      <c r="C163" s="1">
        <v>4526</v>
      </c>
    </row>
    <row r="164" spans="1:3" x14ac:dyDescent="0.25">
      <c r="A164" s="15">
        <v>163</v>
      </c>
      <c r="B164" s="2" t="s">
        <v>162</v>
      </c>
      <c r="C164" s="1">
        <v>8823</v>
      </c>
    </row>
    <row r="165" spans="1:3" x14ac:dyDescent="0.25">
      <c r="A165" s="15">
        <v>164</v>
      </c>
      <c r="B165" s="2" t="s">
        <v>163</v>
      </c>
      <c r="C165" s="1">
        <v>18116</v>
      </c>
    </row>
    <row r="166" spans="1:3" x14ac:dyDescent="0.25">
      <c r="A166" s="15">
        <v>165</v>
      </c>
      <c r="B166" s="2" t="s">
        <v>164</v>
      </c>
      <c r="C166" s="1">
        <v>1317</v>
      </c>
    </row>
    <row r="167" spans="1:3" x14ac:dyDescent="0.25">
      <c r="A167" s="15">
        <v>166</v>
      </c>
      <c r="B167" s="2" t="s">
        <v>165</v>
      </c>
      <c r="C167" s="1">
        <v>3663</v>
      </c>
    </row>
    <row r="168" spans="1:3" x14ac:dyDescent="0.25">
      <c r="A168" s="15">
        <v>167</v>
      </c>
      <c r="B168" s="2" t="s">
        <v>166</v>
      </c>
      <c r="C168" s="1">
        <v>3786</v>
      </c>
    </row>
    <row r="169" spans="1:3" x14ac:dyDescent="0.25">
      <c r="A169" s="15">
        <v>168</v>
      </c>
      <c r="B169" s="2" t="s">
        <v>167</v>
      </c>
      <c r="C169" s="1">
        <v>13439</v>
      </c>
    </row>
    <row r="170" spans="1:3" x14ac:dyDescent="0.25">
      <c r="A170" s="15">
        <v>169</v>
      </c>
      <c r="B170" s="2" t="s">
        <v>168</v>
      </c>
      <c r="C170" s="1">
        <v>19138</v>
      </c>
    </row>
    <row r="171" spans="1:3" x14ac:dyDescent="0.25">
      <c r="A171" s="15">
        <v>170</v>
      </c>
      <c r="B171" s="2" t="s">
        <v>169</v>
      </c>
      <c r="C171" s="1">
        <v>9758</v>
      </c>
    </row>
    <row r="172" spans="1:3" x14ac:dyDescent="0.25">
      <c r="A172" s="15">
        <v>171</v>
      </c>
      <c r="B172" s="2" t="s">
        <v>170</v>
      </c>
      <c r="C172" s="1">
        <v>8347</v>
      </c>
    </row>
    <row r="173" spans="1:3" x14ac:dyDescent="0.25">
      <c r="A173" s="15">
        <v>172</v>
      </c>
      <c r="B173" s="2" t="s">
        <v>171</v>
      </c>
      <c r="C173" s="1">
        <v>14389</v>
      </c>
    </row>
    <row r="174" spans="1:3" x14ac:dyDescent="0.25">
      <c r="A174" s="15">
        <v>173</v>
      </c>
      <c r="B174" s="2" t="s">
        <v>172</v>
      </c>
      <c r="C174" s="1">
        <v>14787</v>
      </c>
    </row>
    <row r="175" spans="1:3" x14ac:dyDescent="0.25">
      <c r="A175" s="15">
        <v>174</v>
      </c>
      <c r="B175" s="2" t="s">
        <v>173</v>
      </c>
      <c r="C175" s="1">
        <v>3185</v>
      </c>
    </row>
    <row r="176" spans="1:3" x14ac:dyDescent="0.25">
      <c r="A176" s="15">
        <v>175</v>
      </c>
      <c r="B176" s="2" t="s">
        <v>174</v>
      </c>
      <c r="C176" s="1">
        <v>7927</v>
      </c>
    </row>
    <row r="177" spans="1:3" x14ac:dyDescent="0.25">
      <c r="A177" s="15">
        <v>176</v>
      </c>
      <c r="B177" s="2" t="s">
        <v>175</v>
      </c>
      <c r="C177" s="1">
        <v>13886</v>
      </c>
    </row>
    <row r="178" spans="1:3" x14ac:dyDescent="0.25">
      <c r="A178" s="15">
        <v>177</v>
      </c>
      <c r="B178" s="2" t="s">
        <v>176</v>
      </c>
      <c r="C178" s="1">
        <v>6978</v>
      </c>
    </row>
    <row r="179" spans="1:3" x14ac:dyDescent="0.25">
      <c r="A179" s="15">
        <v>178</v>
      </c>
      <c r="B179" s="2" t="s">
        <v>177</v>
      </c>
      <c r="C179" s="1">
        <v>15084</v>
      </c>
    </row>
    <row r="180" spans="1:3" x14ac:dyDescent="0.25">
      <c r="A180" s="15">
        <v>179</v>
      </c>
      <c r="B180" s="2" t="s">
        <v>178</v>
      </c>
      <c r="C180" s="1">
        <v>14679</v>
      </c>
    </row>
    <row r="181" spans="1:3" x14ac:dyDescent="0.25">
      <c r="A181" s="15">
        <v>180</v>
      </c>
      <c r="B181" s="2" t="s">
        <v>179</v>
      </c>
      <c r="C181" s="1">
        <v>863</v>
      </c>
    </row>
    <row r="182" spans="1:3" x14ac:dyDescent="0.25">
      <c r="A182" s="15">
        <v>181</v>
      </c>
      <c r="B182" s="2" t="s">
        <v>180</v>
      </c>
      <c r="C182" s="1">
        <v>17438</v>
      </c>
    </row>
    <row r="183" spans="1:3" x14ac:dyDescent="0.25">
      <c r="A183" s="15">
        <v>182</v>
      </c>
      <c r="B183" s="2" t="s">
        <v>181</v>
      </c>
      <c r="C183" s="1">
        <v>13352</v>
      </c>
    </row>
    <row r="184" spans="1:3" x14ac:dyDescent="0.25">
      <c r="A184" s="15">
        <v>183</v>
      </c>
      <c r="B184" s="2" t="s">
        <v>182</v>
      </c>
      <c r="C184" s="1">
        <v>3948</v>
      </c>
    </row>
    <row r="185" spans="1:3" x14ac:dyDescent="0.25">
      <c r="A185" s="15">
        <v>184</v>
      </c>
      <c r="B185" s="2" t="s">
        <v>183</v>
      </c>
      <c r="C185" s="1">
        <v>16704</v>
      </c>
    </row>
    <row r="186" spans="1:3" x14ac:dyDescent="0.25">
      <c r="A186" s="15">
        <v>185</v>
      </c>
      <c r="B186" s="2" t="s">
        <v>184</v>
      </c>
      <c r="C186" s="1">
        <v>1472</v>
      </c>
    </row>
    <row r="187" spans="1:3" x14ac:dyDescent="0.25">
      <c r="A187" s="15">
        <v>186</v>
      </c>
      <c r="B187" s="2" t="s">
        <v>185</v>
      </c>
      <c r="C187" s="1">
        <v>16893</v>
      </c>
    </row>
    <row r="188" spans="1:3" x14ac:dyDescent="0.25">
      <c r="A188" s="15">
        <v>187</v>
      </c>
      <c r="B188" s="2" t="s">
        <v>186</v>
      </c>
      <c r="C188" s="1">
        <v>16735</v>
      </c>
    </row>
    <row r="189" spans="1:3" x14ac:dyDescent="0.25">
      <c r="A189" s="15">
        <v>188</v>
      </c>
      <c r="B189" s="2" t="s">
        <v>187</v>
      </c>
      <c r="C189" s="1">
        <v>3089</v>
      </c>
    </row>
    <row r="190" spans="1:3" x14ac:dyDescent="0.25">
      <c r="A190" s="15">
        <v>189</v>
      </c>
      <c r="B190" s="2" t="s">
        <v>188</v>
      </c>
      <c r="C190" s="1">
        <v>16882</v>
      </c>
    </row>
    <row r="191" spans="1:3" x14ac:dyDescent="0.25">
      <c r="A191" s="15">
        <v>190</v>
      </c>
      <c r="B191" s="2" t="s">
        <v>189</v>
      </c>
      <c r="C191" s="1">
        <v>17461</v>
      </c>
    </row>
    <row r="192" spans="1:3" x14ac:dyDescent="0.25">
      <c r="A192" s="15">
        <v>191</v>
      </c>
      <c r="B192" s="2" t="s">
        <v>190</v>
      </c>
      <c r="C192" s="1">
        <v>9861</v>
      </c>
    </row>
    <row r="193" spans="1:3" x14ac:dyDescent="0.25">
      <c r="A193" s="15">
        <v>192</v>
      </c>
      <c r="B193" s="2" t="s">
        <v>191</v>
      </c>
      <c r="C193" s="1">
        <v>4038</v>
      </c>
    </row>
    <row r="194" spans="1:3" x14ac:dyDescent="0.25">
      <c r="A194" s="15">
        <v>193</v>
      </c>
      <c r="B194" s="2" t="s">
        <v>192</v>
      </c>
      <c r="C194" s="1">
        <v>6082</v>
      </c>
    </row>
    <row r="195" spans="1:3" x14ac:dyDescent="0.25">
      <c r="A195" s="15">
        <v>194</v>
      </c>
      <c r="B195" s="2" t="s">
        <v>193</v>
      </c>
      <c r="C195" s="1">
        <v>11881</v>
      </c>
    </row>
    <row r="196" spans="1:3" x14ac:dyDescent="0.25">
      <c r="A196" s="15">
        <v>195</v>
      </c>
      <c r="B196" s="2" t="s">
        <v>194</v>
      </c>
      <c r="C196" s="1">
        <v>13927</v>
      </c>
    </row>
    <row r="197" spans="1:3" x14ac:dyDescent="0.25">
      <c r="A197" s="15">
        <v>196</v>
      </c>
      <c r="B197" s="2" t="s">
        <v>195</v>
      </c>
      <c r="C197" s="1">
        <v>18446</v>
      </c>
    </row>
    <row r="198" spans="1:3" x14ac:dyDescent="0.25">
      <c r="A198" s="15">
        <v>197</v>
      </c>
      <c r="B198" s="2" t="s">
        <v>196</v>
      </c>
      <c r="C198" s="1">
        <v>7463</v>
      </c>
    </row>
    <row r="199" spans="1:3" x14ac:dyDescent="0.25">
      <c r="A199" s="15">
        <v>198</v>
      </c>
      <c r="B199" s="2" t="s">
        <v>197</v>
      </c>
      <c r="C199" s="1">
        <v>8187</v>
      </c>
    </row>
    <row r="200" spans="1:3" x14ac:dyDescent="0.25">
      <c r="A200" s="15">
        <v>199</v>
      </c>
      <c r="B200" s="2" t="s">
        <v>198</v>
      </c>
      <c r="C200" s="1">
        <v>16809</v>
      </c>
    </row>
    <row r="201" spans="1:3" x14ac:dyDescent="0.25">
      <c r="A201" s="15">
        <v>200</v>
      </c>
      <c r="B201" s="2" t="s">
        <v>199</v>
      </c>
      <c r="C201" s="1">
        <v>4931</v>
      </c>
    </row>
    <row r="202" spans="1:3" x14ac:dyDescent="0.25">
      <c r="A202" s="15">
        <v>201</v>
      </c>
      <c r="B202" s="2" t="s">
        <v>200</v>
      </c>
      <c r="C202" s="1">
        <v>14299</v>
      </c>
    </row>
    <row r="203" spans="1:3" x14ac:dyDescent="0.25">
      <c r="A203" s="15">
        <v>202</v>
      </c>
      <c r="B203" s="2" t="s">
        <v>201</v>
      </c>
      <c r="C203" s="1">
        <v>13882</v>
      </c>
    </row>
    <row r="204" spans="1:3" x14ac:dyDescent="0.25">
      <c r="A204" s="15">
        <v>203</v>
      </c>
      <c r="B204" s="2" t="s">
        <v>202</v>
      </c>
      <c r="C204" s="1">
        <v>10326</v>
      </c>
    </row>
    <row r="205" spans="1:3" x14ac:dyDescent="0.25">
      <c r="A205" s="15">
        <v>204</v>
      </c>
      <c r="B205" s="2" t="s">
        <v>203</v>
      </c>
      <c r="C205" s="1">
        <v>1065</v>
      </c>
    </row>
    <row r="206" spans="1:3" x14ac:dyDescent="0.25">
      <c r="A206" s="15">
        <v>205</v>
      </c>
      <c r="B206" s="2" t="s">
        <v>204</v>
      </c>
      <c r="C206" s="1">
        <v>4212</v>
      </c>
    </row>
    <row r="207" spans="1:3" x14ac:dyDescent="0.25">
      <c r="A207" s="15">
        <v>206</v>
      </c>
      <c r="B207" s="2" t="s">
        <v>205</v>
      </c>
      <c r="C207" s="1">
        <v>5850</v>
      </c>
    </row>
    <row r="208" spans="1:3" x14ac:dyDescent="0.25">
      <c r="A208" s="15">
        <v>207</v>
      </c>
      <c r="B208" s="2" t="s">
        <v>206</v>
      </c>
      <c r="C208" s="1">
        <v>1923</v>
      </c>
    </row>
    <row r="209" spans="1:3" x14ac:dyDescent="0.25">
      <c r="A209" s="15">
        <v>208</v>
      </c>
      <c r="B209" s="2" t="s">
        <v>207</v>
      </c>
      <c r="C209" s="1">
        <v>713</v>
      </c>
    </row>
    <row r="210" spans="1:3" x14ac:dyDescent="0.25">
      <c r="A210" s="15">
        <v>209</v>
      </c>
      <c r="B210" s="2" t="s">
        <v>208</v>
      </c>
      <c r="C210" s="1">
        <v>7224</v>
      </c>
    </row>
    <row r="211" spans="1:3" x14ac:dyDescent="0.25">
      <c r="A211" s="15">
        <v>210</v>
      </c>
      <c r="B211" s="2" t="s">
        <v>209</v>
      </c>
      <c r="C211" s="1">
        <v>6391</v>
      </c>
    </row>
    <row r="212" spans="1:3" x14ac:dyDescent="0.25">
      <c r="A212" s="15">
        <v>211</v>
      </c>
      <c r="B212" s="2" t="s">
        <v>210</v>
      </c>
      <c r="C212" s="1">
        <v>15586</v>
      </c>
    </row>
    <row r="213" spans="1:3" x14ac:dyDescent="0.25">
      <c r="A213" s="15">
        <v>212</v>
      </c>
      <c r="B213" s="2" t="s">
        <v>211</v>
      </c>
      <c r="C213" s="1">
        <v>14110</v>
      </c>
    </row>
    <row r="214" spans="1:3" x14ac:dyDescent="0.25">
      <c r="A214" s="15">
        <v>213</v>
      </c>
      <c r="B214" s="2" t="s">
        <v>212</v>
      </c>
      <c r="C214" s="1">
        <v>9938</v>
      </c>
    </row>
    <row r="215" spans="1:3" x14ac:dyDescent="0.25">
      <c r="A215" s="15">
        <v>214</v>
      </c>
      <c r="B215" s="2" t="s">
        <v>213</v>
      </c>
      <c r="C215" s="1">
        <v>1720</v>
      </c>
    </row>
    <row r="216" spans="1:3" x14ac:dyDescent="0.25">
      <c r="A216" s="15">
        <v>215</v>
      </c>
      <c r="B216" s="2" t="s">
        <v>214</v>
      </c>
      <c r="C216" s="1">
        <v>7661</v>
      </c>
    </row>
    <row r="217" spans="1:3" x14ac:dyDescent="0.25">
      <c r="A217" s="15">
        <v>216</v>
      </c>
      <c r="B217" s="2" t="s">
        <v>215</v>
      </c>
      <c r="C217" s="1">
        <v>7101</v>
      </c>
    </row>
    <row r="218" spans="1:3" x14ac:dyDescent="0.25">
      <c r="A218" s="15">
        <v>217</v>
      </c>
      <c r="B218" s="2" t="s">
        <v>216</v>
      </c>
      <c r="C218" s="1">
        <v>16846</v>
      </c>
    </row>
    <row r="219" spans="1:3" x14ac:dyDescent="0.25">
      <c r="A219" s="15">
        <v>218</v>
      </c>
      <c r="B219" s="2" t="s">
        <v>217</v>
      </c>
      <c r="C219" s="1">
        <v>7320</v>
      </c>
    </row>
    <row r="220" spans="1:3" x14ac:dyDescent="0.25">
      <c r="A220" s="15">
        <v>219</v>
      </c>
      <c r="B220" s="2" t="s">
        <v>218</v>
      </c>
      <c r="C220" s="1">
        <v>13192</v>
      </c>
    </row>
    <row r="221" spans="1:3" x14ac:dyDescent="0.25">
      <c r="A221" s="15">
        <v>220</v>
      </c>
      <c r="B221" s="2" t="s">
        <v>219</v>
      </c>
      <c r="C221" s="1">
        <v>19303</v>
      </c>
    </row>
    <row r="222" spans="1:3" x14ac:dyDescent="0.25">
      <c r="A222" s="15">
        <v>221</v>
      </c>
      <c r="B222" s="2" t="s">
        <v>220</v>
      </c>
      <c r="C222" s="1">
        <v>14656</v>
      </c>
    </row>
    <row r="223" spans="1:3" x14ac:dyDescent="0.25">
      <c r="A223" s="15">
        <v>222</v>
      </c>
      <c r="B223" s="2" t="s">
        <v>221</v>
      </c>
      <c r="C223" s="1">
        <v>11960</v>
      </c>
    </row>
    <row r="224" spans="1:3" x14ac:dyDescent="0.25">
      <c r="A224" s="15">
        <v>223</v>
      </c>
      <c r="B224" s="2" t="s">
        <v>222</v>
      </c>
      <c r="C224" s="1">
        <v>7163</v>
      </c>
    </row>
    <row r="225" spans="1:3" x14ac:dyDescent="0.25">
      <c r="A225" s="15">
        <v>224</v>
      </c>
      <c r="B225" s="2" t="s">
        <v>223</v>
      </c>
      <c r="C225" s="1">
        <v>4977</v>
      </c>
    </row>
    <row r="226" spans="1:3" x14ac:dyDescent="0.25">
      <c r="A226" s="15">
        <v>225</v>
      </c>
      <c r="B226" s="2" t="s">
        <v>224</v>
      </c>
      <c r="C226" s="1">
        <v>5021</v>
      </c>
    </row>
    <row r="227" spans="1:3" x14ac:dyDescent="0.25">
      <c r="A227" s="15">
        <v>226</v>
      </c>
      <c r="B227" s="2" t="s">
        <v>225</v>
      </c>
      <c r="C227" s="1">
        <v>14949</v>
      </c>
    </row>
    <row r="228" spans="1:3" x14ac:dyDescent="0.25">
      <c r="A228" s="15">
        <v>227</v>
      </c>
      <c r="B228" s="2" t="s">
        <v>226</v>
      </c>
      <c r="C228" s="1">
        <v>10724</v>
      </c>
    </row>
    <row r="229" spans="1:3" x14ac:dyDescent="0.25">
      <c r="A229" s="15">
        <v>228</v>
      </c>
      <c r="B229" s="2" t="s">
        <v>227</v>
      </c>
      <c r="C229" s="1">
        <v>16107</v>
      </c>
    </row>
    <row r="230" spans="1:3" x14ac:dyDescent="0.25">
      <c r="A230" s="15">
        <v>229</v>
      </c>
      <c r="B230" s="2" t="s">
        <v>228</v>
      </c>
      <c r="C230" s="1">
        <v>11969</v>
      </c>
    </row>
    <row r="231" spans="1:3" x14ac:dyDescent="0.25">
      <c r="A231" s="15">
        <v>230</v>
      </c>
      <c r="B231" s="2" t="s">
        <v>229</v>
      </c>
      <c r="C231" s="1">
        <v>15933</v>
      </c>
    </row>
    <row r="232" spans="1:3" x14ac:dyDescent="0.25">
      <c r="A232" s="15">
        <v>231</v>
      </c>
      <c r="B232" s="2" t="s">
        <v>230</v>
      </c>
      <c r="C232" s="1">
        <v>19277</v>
      </c>
    </row>
    <row r="233" spans="1:3" x14ac:dyDescent="0.25">
      <c r="A233" s="15">
        <v>232</v>
      </c>
      <c r="B233" s="2" t="s">
        <v>231</v>
      </c>
      <c r="C233" s="1">
        <v>12555</v>
      </c>
    </row>
    <row r="234" spans="1:3" x14ac:dyDescent="0.25">
      <c r="A234" s="15">
        <v>233</v>
      </c>
      <c r="B234" s="2" t="s">
        <v>232</v>
      </c>
      <c r="C234" s="1">
        <v>9157</v>
      </c>
    </row>
    <row r="235" spans="1:3" x14ac:dyDescent="0.25">
      <c r="A235" s="15">
        <v>234</v>
      </c>
      <c r="B235" s="2" t="s">
        <v>233</v>
      </c>
      <c r="C235" s="1">
        <v>10338</v>
      </c>
    </row>
    <row r="236" spans="1:3" x14ac:dyDescent="0.25">
      <c r="A236" s="15">
        <v>235</v>
      </c>
      <c r="B236" s="2" t="s">
        <v>234</v>
      </c>
      <c r="C236" s="1">
        <v>10322</v>
      </c>
    </row>
    <row r="237" spans="1:3" x14ac:dyDescent="0.25">
      <c r="A237" s="15">
        <v>236</v>
      </c>
      <c r="B237" s="2" t="s">
        <v>235</v>
      </c>
      <c r="C237" s="1">
        <v>10596</v>
      </c>
    </row>
    <row r="238" spans="1:3" x14ac:dyDescent="0.25">
      <c r="A238" s="15">
        <v>237</v>
      </c>
      <c r="B238" s="2" t="s">
        <v>236</v>
      </c>
      <c r="C238" s="1">
        <v>15427</v>
      </c>
    </row>
    <row r="239" spans="1:3" x14ac:dyDescent="0.25">
      <c r="A239" s="15">
        <v>238</v>
      </c>
      <c r="B239" s="2" t="s">
        <v>237</v>
      </c>
      <c r="C239" s="1">
        <v>16028</v>
      </c>
    </row>
    <row r="240" spans="1:3" x14ac:dyDescent="0.25">
      <c r="A240" s="15">
        <v>239</v>
      </c>
      <c r="B240" s="2" t="s">
        <v>238</v>
      </c>
      <c r="C240" s="1">
        <v>5651</v>
      </c>
    </row>
    <row r="241" spans="1:3" x14ac:dyDescent="0.25">
      <c r="A241" s="15">
        <v>240</v>
      </c>
      <c r="B241" s="2" t="s">
        <v>239</v>
      </c>
      <c r="C241" s="1">
        <v>19205</v>
      </c>
    </row>
    <row r="242" spans="1:3" x14ac:dyDescent="0.25">
      <c r="A242" s="15">
        <v>241</v>
      </c>
      <c r="B242" s="2" t="s">
        <v>240</v>
      </c>
      <c r="C242" s="1">
        <v>14422</v>
      </c>
    </row>
    <row r="243" spans="1:3" x14ac:dyDescent="0.25">
      <c r="A243" s="15">
        <v>242</v>
      </c>
      <c r="B243" s="2" t="s">
        <v>241</v>
      </c>
      <c r="C243" s="1">
        <v>8366</v>
      </c>
    </row>
    <row r="244" spans="1:3" x14ac:dyDescent="0.25">
      <c r="A244" s="15">
        <v>243</v>
      </c>
      <c r="B244" s="2" t="s">
        <v>242</v>
      </c>
      <c r="C244" s="1">
        <v>12744</v>
      </c>
    </row>
    <row r="245" spans="1:3" x14ac:dyDescent="0.25">
      <c r="A245" s="15">
        <v>244</v>
      </c>
      <c r="B245" s="2" t="s">
        <v>243</v>
      </c>
      <c r="C245" s="1">
        <v>14704</v>
      </c>
    </row>
    <row r="246" spans="1:3" x14ac:dyDescent="0.25">
      <c r="A246" s="15">
        <v>245</v>
      </c>
      <c r="B246" s="2" t="s">
        <v>244</v>
      </c>
      <c r="C246" s="1">
        <v>1622</v>
      </c>
    </row>
    <row r="247" spans="1:3" x14ac:dyDescent="0.25">
      <c r="A247" s="15">
        <v>246</v>
      </c>
      <c r="B247" s="2" t="s">
        <v>245</v>
      </c>
      <c r="C247" s="1">
        <v>11211</v>
      </c>
    </row>
    <row r="248" spans="1:3" x14ac:dyDescent="0.25">
      <c r="A248" s="15">
        <v>247</v>
      </c>
      <c r="B248" s="2" t="s">
        <v>246</v>
      </c>
      <c r="C248" s="1">
        <v>15862</v>
      </c>
    </row>
    <row r="249" spans="1:3" x14ac:dyDescent="0.25">
      <c r="A249" s="15">
        <v>248</v>
      </c>
      <c r="B249" s="2" t="s">
        <v>247</v>
      </c>
      <c r="C249" s="1">
        <v>10730</v>
      </c>
    </row>
    <row r="250" spans="1:3" x14ac:dyDescent="0.25">
      <c r="A250" s="15">
        <v>249</v>
      </c>
      <c r="B250" s="2" t="s">
        <v>248</v>
      </c>
      <c r="C250" s="1">
        <v>14889</v>
      </c>
    </row>
    <row r="251" spans="1:3" x14ac:dyDescent="0.25">
      <c r="A251" s="15">
        <v>250</v>
      </c>
      <c r="B251" s="2" t="s">
        <v>249</v>
      </c>
      <c r="C251" s="1">
        <v>16124</v>
      </c>
    </row>
    <row r="252" spans="1:3" x14ac:dyDescent="0.25">
      <c r="A252" s="15">
        <v>251</v>
      </c>
      <c r="B252" s="2" t="s">
        <v>250</v>
      </c>
      <c r="C252" s="1">
        <v>19576</v>
      </c>
    </row>
    <row r="253" spans="1:3" x14ac:dyDescent="0.25">
      <c r="A253" s="15">
        <v>252</v>
      </c>
      <c r="B253" s="2" t="s">
        <v>251</v>
      </c>
      <c r="C253" s="1">
        <v>16733</v>
      </c>
    </row>
    <row r="254" spans="1:3" x14ac:dyDescent="0.25">
      <c r="A254" s="15">
        <v>253</v>
      </c>
      <c r="B254" s="2" t="s">
        <v>252</v>
      </c>
      <c r="C254" s="1">
        <v>4277</v>
      </c>
    </row>
    <row r="255" spans="1:3" x14ac:dyDescent="0.25">
      <c r="A255" s="15">
        <v>254</v>
      </c>
      <c r="B255" s="2" t="s">
        <v>253</v>
      </c>
      <c r="C255" s="1">
        <v>5199</v>
      </c>
    </row>
    <row r="256" spans="1:3" x14ac:dyDescent="0.25">
      <c r="A256" s="15">
        <v>255</v>
      </c>
      <c r="B256" s="2" t="s">
        <v>254</v>
      </c>
      <c r="C256" s="1">
        <v>18858</v>
      </c>
    </row>
    <row r="257" spans="1:3" x14ac:dyDescent="0.25">
      <c r="A257" s="15">
        <v>256</v>
      </c>
      <c r="B257" s="2" t="s">
        <v>255</v>
      </c>
      <c r="C257" s="1">
        <v>7940</v>
      </c>
    </row>
    <row r="258" spans="1:3" x14ac:dyDescent="0.25">
      <c r="A258" s="15">
        <v>257</v>
      </c>
      <c r="B258" s="2" t="s">
        <v>256</v>
      </c>
      <c r="C258" s="1">
        <v>6671</v>
      </c>
    </row>
    <row r="259" spans="1:3" x14ac:dyDescent="0.25">
      <c r="A259" s="15">
        <v>258</v>
      </c>
      <c r="B259" s="2" t="s">
        <v>257</v>
      </c>
      <c r="C259" s="1">
        <v>18069</v>
      </c>
    </row>
    <row r="260" spans="1:3" x14ac:dyDescent="0.25">
      <c r="A260" s="15">
        <v>259</v>
      </c>
      <c r="B260" s="2" t="s">
        <v>258</v>
      </c>
      <c r="C260" s="1">
        <v>1297</v>
      </c>
    </row>
    <row r="261" spans="1:3" x14ac:dyDescent="0.25">
      <c r="A261" s="15">
        <v>260</v>
      </c>
      <c r="B261" s="2" t="s">
        <v>259</v>
      </c>
      <c r="C261" s="1">
        <v>14659</v>
      </c>
    </row>
    <row r="262" spans="1:3" x14ac:dyDescent="0.25">
      <c r="A262" s="15">
        <v>261</v>
      </c>
      <c r="B262" s="2" t="s">
        <v>260</v>
      </c>
      <c r="C262" s="1">
        <v>8720</v>
      </c>
    </row>
    <row r="263" spans="1:3" x14ac:dyDescent="0.25">
      <c r="A263" s="15">
        <v>262</v>
      </c>
      <c r="B263" s="2" t="s">
        <v>261</v>
      </c>
      <c r="C263" s="1">
        <v>5303</v>
      </c>
    </row>
    <row r="264" spans="1:3" x14ac:dyDescent="0.25">
      <c r="A264" s="15">
        <v>263</v>
      </c>
      <c r="B264" s="2" t="s">
        <v>262</v>
      </c>
      <c r="C264" s="1">
        <v>15821</v>
      </c>
    </row>
    <row r="265" spans="1:3" x14ac:dyDescent="0.25">
      <c r="A265" s="15">
        <v>264</v>
      </c>
      <c r="B265" s="2" t="s">
        <v>263</v>
      </c>
      <c r="C265" s="1">
        <v>2169</v>
      </c>
    </row>
    <row r="266" spans="1:3" x14ac:dyDescent="0.25">
      <c r="A266" s="15">
        <v>265</v>
      </c>
      <c r="B266" s="2" t="s">
        <v>264</v>
      </c>
      <c r="C266" s="1">
        <v>7194</v>
      </c>
    </row>
    <row r="267" spans="1:3" x14ac:dyDescent="0.25">
      <c r="A267" s="15">
        <v>266</v>
      </c>
      <c r="B267" s="2" t="s">
        <v>265</v>
      </c>
      <c r="C267" s="1">
        <v>9259</v>
      </c>
    </row>
    <row r="268" spans="1:3" x14ac:dyDescent="0.25">
      <c r="A268" s="15">
        <v>267</v>
      </c>
      <c r="B268" s="2" t="s">
        <v>266</v>
      </c>
      <c r="C268" s="1">
        <v>15346</v>
      </c>
    </row>
    <row r="269" spans="1:3" x14ac:dyDescent="0.25">
      <c r="A269" s="15">
        <v>268</v>
      </c>
      <c r="B269" s="2" t="s">
        <v>267</v>
      </c>
      <c r="C269" s="1">
        <v>8248</v>
      </c>
    </row>
    <row r="270" spans="1:3" x14ac:dyDescent="0.25">
      <c r="A270" s="15">
        <v>269</v>
      </c>
      <c r="B270" s="2" t="s">
        <v>268</v>
      </c>
      <c r="C270" s="1">
        <v>13705</v>
      </c>
    </row>
    <row r="271" spans="1:3" x14ac:dyDescent="0.25">
      <c r="A271" s="15">
        <v>270</v>
      </c>
      <c r="B271" s="2" t="s">
        <v>269</v>
      </c>
      <c r="C271" s="1">
        <v>12363</v>
      </c>
    </row>
    <row r="272" spans="1:3" x14ac:dyDescent="0.25">
      <c r="A272" s="15">
        <v>271</v>
      </c>
      <c r="B272" s="2" t="s">
        <v>270</v>
      </c>
      <c r="C272" s="1">
        <v>19320</v>
      </c>
    </row>
    <row r="273" spans="1:3" x14ac:dyDescent="0.25">
      <c r="A273" s="15">
        <v>272</v>
      </c>
      <c r="B273" s="2" t="s">
        <v>271</v>
      </c>
      <c r="C273" s="1">
        <v>18856</v>
      </c>
    </row>
    <row r="274" spans="1:3" x14ac:dyDescent="0.25">
      <c r="A274" s="15">
        <v>273</v>
      </c>
      <c r="B274" s="2" t="s">
        <v>272</v>
      </c>
      <c r="C274" s="1">
        <v>4775</v>
      </c>
    </row>
    <row r="275" spans="1:3" x14ac:dyDescent="0.25">
      <c r="A275" s="15">
        <v>274</v>
      </c>
      <c r="B275" s="2" t="s">
        <v>273</v>
      </c>
      <c r="C275" s="1">
        <v>16623</v>
      </c>
    </row>
    <row r="276" spans="1:3" x14ac:dyDescent="0.25">
      <c r="A276" s="15">
        <v>275</v>
      </c>
      <c r="B276" s="2" t="s">
        <v>274</v>
      </c>
      <c r="C276" s="1">
        <v>14468</v>
      </c>
    </row>
    <row r="277" spans="1:3" x14ac:dyDescent="0.25">
      <c r="A277" s="15">
        <v>276</v>
      </c>
      <c r="B277" s="2" t="s">
        <v>275</v>
      </c>
      <c r="C277" s="1">
        <v>14263</v>
      </c>
    </row>
    <row r="278" spans="1:3" x14ac:dyDescent="0.25">
      <c r="A278" s="15">
        <v>277</v>
      </c>
      <c r="B278" s="2" t="s">
        <v>276</v>
      </c>
      <c r="C278" s="1">
        <v>8704</v>
      </c>
    </row>
    <row r="279" spans="1:3" x14ac:dyDescent="0.25">
      <c r="A279" s="15">
        <v>278</v>
      </c>
      <c r="B279" s="2" t="s">
        <v>277</v>
      </c>
      <c r="C279" s="1">
        <v>10590</v>
      </c>
    </row>
    <row r="280" spans="1:3" x14ac:dyDescent="0.25">
      <c r="A280" s="15">
        <v>279</v>
      </c>
      <c r="B280" s="2" t="s">
        <v>278</v>
      </c>
      <c r="C280" s="1">
        <v>13471</v>
      </c>
    </row>
    <row r="281" spans="1:3" x14ac:dyDescent="0.25">
      <c r="A281" s="15">
        <v>280</v>
      </c>
      <c r="B281" s="2" t="s">
        <v>279</v>
      </c>
      <c r="C281" s="1">
        <v>5335</v>
      </c>
    </row>
    <row r="282" spans="1:3" x14ac:dyDescent="0.25">
      <c r="A282" s="15">
        <v>281</v>
      </c>
      <c r="B282" s="2" t="s">
        <v>280</v>
      </c>
      <c r="C282" s="1">
        <v>7997</v>
      </c>
    </row>
    <row r="283" spans="1:3" x14ac:dyDescent="0.25">
      <c r="A283" s="15">
        <v>282</v>
      </c>
      <c r="B283" s="2" t="s">
        <v>281</v>
      </c>
      <c r="C283" s="1">
        <v>5396</v>
      </c>
    </row>
    <row r="284" spans="1:3" x14ac:dyDescent="0.25">
      <c r="A284" s="15">
        <v>283</v>
      </c>
      <c r="B284" s="2" t="s">
        <v>282</v>
      </c>
      <c r="C284" s="1">
        <v>12094</v>
      </c>
    </row>
    <row r="285" spans="1:3" x14ac:dyDescent="0.25">
      <c r="A285" s="15">
        <v>284</v>
      </c>
      <c r="B285" s="2" t="s">
        <v>283</v>
      </c>
      <c r="C285" s="1">
        <v>11447</v>
      </c>
    </row>
    <row r="286" spans="1:3" x14ac:dyDescent="0.25">
      <c r="A286" s="15">
        <v>285</v>
      </c>
      <c r="B286" s="2" t="s">
        <v>284</v>
      </c>
      <c r="C286" s="1">
        <v>14950</v>
      </c>
    </row>
    <row r="287" spans="1:3" x14ac:dyDescent="0.25">
      <c r="A287" s="15">
        <v>286</v>
      </c>
      <c r="B287" s="2" t="s">
        <v>285</v>
      </c>
      <c r="C287" s="1">
        <v>14750</v>
      </c>
    </row>
    <row r="288" spans="1:3" x14ac:dyDescent="0.25">
      <c r="A288" s="15">
        <v>287</v>
      </c>
      <c r="B288" s="2" t="s">
        <v>286</v>
      </c>
      <c r="C288" s="1">
        <v>9940</v>
      </c>
    </row>
    <row r="289" spans="1:3" x14ac:dyDescent="0.25">
      <c r="A289" s="15">
        <v>288</v>
      </c>
      <c r="B289" s="2" t="s">
        <v>287</v>
      </c>
      <c r="C289" s="1">
        <v>18907</v>
      </c>
    </row>
    <row r="290" spans="1:3" x14ac:dyDescent="0.25">
      <c r="A290" s="15">
        <v>289</v>
      </c>
      <c r="B290" s="2" t="s">
        <v>288</v>
      </c>
      <c r="C290" s="1">
        <v>5666</v>
      </c>
    </row>
    <row r="291" spans="1:3" x14ac:dyDescent="0.25">
      <c r="A291" s="15">
        <v>290</v>
      </c>
      <c r="B291" s="2" t="s">
        <v>289</v>
      </c>
      <c r="C291" s="1">
        <v>19653</v>
      </c>
    </row>
    <row r="292" spans="1:3" x14ac:dyDescent="0.25">
      <c r="A292" s="15">
        <v>291</v>
      </c>
      <c r="B292" s="2" t="s">
        <v>290</v>
      </c>
      <c r="C292" s="1">
        <v>1425</v>
      </c>
    </row>
    <row r="293" spans="1:3" x14ac:dyDescent="0.25">
      <c r="A293" s="15">
        <v>292</v>
      </c>
      <c r="B293" s="2" t="s">
        <v>291</v>
      </c>
      <c r="C293" s="1">
        <v>16918</v>
      </c>
    </row>
    <row r="294" spans="1:3" x14ac:dyDescent="0.25">
      <c r="A294" s="15">
        <v>293</v>
      </c>
      <c r="B294" s="2" t="s">
        <v>292</v>
      </c>
      <c r="C294" s="1">
        <v>7108</v>
      </c>
    </row>
    <row r="295" spans="1:3" x14ac:dyDescent="0.25">
      <c r="A295" s="15">
        <v>294</v>
      </c>
      <c r="B295" s="2" t="s">
        <v>293</v>
      </c>
      <c r="C295" s="1">
        <v>11434</v>
      </c>
    </row>
    <row r="296" spans="1:3" x14ac:dyDescent="0.25">
      <c r="A296" s="15">
        <v>295</v>
      </c>
      <c r="B296" s="2" t="s">
        <v>294</v>
      </c>
      <c r="C296" s="1">
        <v>15199</v>
      </c>
    </row>
    <row r="297" spans="1:3" x14ac:dyDescent="0.25">
      <c r="A297" s="15">
        <v>296</v>
      </c>
      <c r="B297" s="2" t="s">
        <v>295</v>
      </c>
      <c r="C297" s="1">
        <v>12864</v>
      </c>
    </row>
    <row r="298" spans="1:3" x14ac:dyDescent="0.25">
      <c r="A298" s="15">
        <v>297</v>
      </c>
      <c r="B298" s="2" t="s">
        <v>296</v>
      </c>
      <c r="C298" s="1">
        <v>19803</v>
      </c>
    </row>
    <row r="299" spans="1:3" x14ac:dyDescent="0.25">
      <c r="A299" s="15">
        <v>298</v>
      </c>
      <c r="B299" s="2" t="s">
        <v>297</v>
      </c>
      <c r="C299" s="1">
        <v>13694</v>
      </c>
    </row>
    <row r="300" spans="1:3" x14ac:dyDescent="0.25">
      <c r="A300" s="15">
        <v>299</v>
      </c>
      <c r="B300" s="2" t="s">
        <v>298</v>
      </c>
      <c r="C300" s="1">
        <v>734</v>
      </c>
    </row>
    <row r="301" spans="1:3" x14ac:dyDescent="0.25">
      <c r="A301" s="15">
        <v>300</v>
      </c>
      <c r="B301" s="2" t="s">
        <v>299</v>
      </c>
      <c r="C301" s="1">
        <v>549</v>
      </c>
    </row>
    <row r="302" spans="1:3" x14ac:dyDescent="0.25">
      <c r="A302" s="15">
        <v>301</v>
      </c>
      <c r="B302" s="2" t="s">
        <v>300</v>
      </c>
      <c r="C302" s="1">
        <v>17784</v>
      </c>
    </row>
    <row r="303" spans="1:3" x14ac:dyDescent="0.25">
      <c r="A303" s="15">
        <v>302</v>
      </c>
      <c r="B303" s="2" t="s">
        <v>301</v>
      </c>
      <c r="C303" s="1">
        <v>14703</v>
      </c>
    </row>
    <row r="304" spans="1:3" x14ac:dyDescent="0.25">
      <c r="A304" s="15">
        <v>303</v>
      </c>
      <c r="B304" s="2" t="s">
        <v>302</v>
      </c>
      <c r="C304" s="1">
        <v>9634</v>
      </c>
    </row>
    <row r="305" spans="1:3" x14ac:dyDescent="0.25">
      <c r="A305" s="15">
        <v>304</v>
      </c>
      <c r="B305" s="2" t="s">
        <v>303</v>
      </c>
      <c r="C305" s="1">
        <v>1867</v>
      </c>
    </row>
    <row r="306" spans="1:3" x14ac:dyDescent="0.25">
      <c r="A306" s="15">
        <v>305</v>
      </c>
      <c r="B306" s="2" t="s">
        <v>304</v>
      </c>
      <c r="C306" s="1">
        <v>6335</v>
      </c>
    </row>
    <row r="307" spans="1:3" x14ac:dyDescent="0.25">
      <c r="A307" s="15">
        <v>306</v>
      </c>
      <c r="B307" s="2" t="s">
        <v>305</v>
      </c>
      <c r="C307" s="1">
        <v>19017</v>
      </c>
    </row>
    <row r="308" spans="1:3" x14ac:dyDescent="0.25">
      <c r="A308" s="15">
        <v>307</v>
      </c>
      <c r="B308" s="2" t="s">
        <v>306</v>
      </c>
      <c r="C308" s="1">
        <v>10347</v>
      </c>
    </row>
    <row r="309" spans="1:3" x14ac:dyDescent="0.25">
      <c r="A309" s="15">
        <v>308</v>
      </c>
      <c r="B309" s="2" t="s">
        <v>307</v>
      </c>
      <c r="C309" s="1">
        <v>16092</v>
      </c>
    </row>
    <row r="310" spans="1:3" x14ac:dyDescent="0.25">
      <c r="A310" s="15">
        <v>309</v>
      </c>
      <c r="B310" s="2" t="s">
        <v>308</v>
      </c>
      <c r="C310" s="1">
        <v>2995</v>
      </c>
    </row>
    <row r="311" spans="1:3" x14ac:dyDescent="0.25">
      <c r="A311" s="15">
        <v>310</v>
      </c>
      <c r="B311" s="2" t="s">
        <v>309</v>
      </c>
      <c r="C311" s="1">
        <v>19888</v>
      </c>
    </row>
    <row r="312" spans="1:3" x14ac:dyDescent="0.25">
      <c r="A312" s="15">
        <v>311</v>
      </c>
      <c r="B312" s="2" t="s">
        <v>310</v>
      </c>
      <c r="C312" s="1">
        <v>8021</v>
      </c>
    </row>
    <row r="313" spans="1:3" x14ac:dyDescent="0.25">
      <c r="A313" s="15">
        <v>312</v>
      </c>
      <c r="B313" s="2" t="s">
        <v>311</v>
      </c>
      <c r="C313" s="1">
        <v>16556</v>
      </c>
    </row>
    <row r="314" spans="1:3" x14ac:dyDescent="0.25">
      <c r="A314" s="15">
        <v>313</v>
      </c>
      <c r="B314" s="2" t="s">
        <v>312</v>
      </c>
      <c r="C314" s="1">
        <v>12112</v>
      </c>
    </row>
    <row r="315" spans="1:3" x14ac:dyDescent="0.25">
      <c r="A315" s="15">
        <v>314</v>
      </c>
      <c r="B315" s="2" t="s">
        <v>313</v>
      </c>
      <c r="C315" s="1">
        <v>7799</v>
      </c>
    </row>
    <row r="316" spans="1:3" x14ac:dyDescent="0.25">
      <c r="A316" s="15">
        <v>315</v>
      </c>
      <c r="B316" s="2" t="s">
        <v>314</v>
      </c>
      <c r="C316" s="1">
        <v>10126</v>
      </c>
    </row>
    <row r="317" spans="1:3" x14ac:dyDescent="0.25">
      <c r="A317" s="15">
        <v>316</v>
      </c>
      <c r="B317" s="2" t="s">
        <v>315</v>
      </c>
      <c r="C317" s="1">
        <v>1004</v>
      </c>
    </row>
    <row r="318" spans="1:3" x14ac:dyDescent="0.25">
      <c r="A318" s="15">
        <v>317</v>
      </c>
      <c r="B318" s="2" t="s">
        <v>316</v>
      </c>
      <c r="C318" s="1">
        <v>11565</v>
      </c>
    </row>
    <row r="319" spans="1:3" x14ac:dyDescent="0.25">
      <c r="A319" s="15">
        <v>318</v>
      </c>
      <c r="B319" s="2" t="s">
        <v>317</v>
      </c>
      <c r="C319" s="1">
        <v>8349</v>
      </c>
    </row>
    <row r="320" spans="1:3" x14ac:dyDescent="0.25">
      <c r="A320" s="15">
        <v>319</v>
      </c>
      <c r="B320" s="2" t="s">
        <v>318</v>
      </c>
      <c r="C320" s="1">
        <v>13855</v>
      </c>
    </row>
    <row r="321" spans="1:3" x14ac:dyDescent="0.25">
      <c r="A321" s="15">
        <v>320</v>
      </c>
      <c r="B321" s="2" t="s">
        <v>319</v>
      </c>
      <c r="C321" s="1">
        <v>11589</v>
      </c>
    </row>
    <row r="322" spans="1:3" x14ac:dyDescent="0.25">
      <c r="A322" s="15">
        <v>321</v>
      </c>
      <c r="B322" s="2" t="s">
        <v>320</v>
      </c>
      <c r="C322" s="1">
        <v>8987</v>
      </c>
    </row>
    <row r="323" spans="1:3" x14ac:dyDescent="0.25">
      <c r="A323" s="15">
        <v>322</v>
      </c>
      <c r="B323" s="2" t="s">
        <v>321</v>
      </c>
      <c r="C323" s="1">
        <v>18505</v>
      </c>
    </row>
    <row r="324" spans="1:3" x14ac:dyDescent="0.25">
      <c r="A324" s="15">
        <v>323</v>
      </c>
      <c r="B324" s="2" t="s">
        <v>322</v>
      </c>
      <c r="C324" s="1">
        <v>13522</v>
      </c>
    </row>
    <row r="325" spans="1:3" x14ac:dyDescent="0.25">
      <c r="A325" s="15">
        <v>324</v>
      </c>
      <c r="B325" s="2" t="s">
        <v>323</v>
      </c>
      <c r="C325" s="1">
        <v>15426</v>
      </c>
    </row>
    <row r="326" spans="1:3" x14ac:dyDescent="0.25">
      <c r="A326" s="15">
        <v>325</v>
      </c>
      <c r="B326" s="2" t="s">
        <v>324</v>
      </c>
      <c r="C326" s="1">
        <v>16276</v>
      </c>
    </row>
    <row r="327" spans="1:3" x14ac:dyDescent="0.25">
      <c r="A327" s="15">
        <v>326</v>
      </c>
      <c r="B327" s="2" t="s">
        <v>325</v>
      </c>
      <c r="C327" s="1">
        <v>4532</v>
      </c>
    </row>
    <row r="328" spans="1:3" x14ac:dyDescent="0.25">
      <c r="A328" s="15">
        <v>327</v>
      </c>
      <c r="B328" s="2" t="s">
        <v>326</v>
      </c>
      <c r="C328" s="1">
        <v>15790</v>
      </c>
    </row>
    <row r="329" spans="1:3" x14ac:dyDescent="0.25">
      <c r="A329" s="15">
        <v>328</v>
      </c>
      <c r="B329" s="2" t="s">
        <v>327</v>
      </c>
      <c r="C329" s="1">
        <v>15033</v>
      </c>
    </row>
    <row r="330" spans="1:3" x14ac:dyDescent="0.25">
      <c r="A330" s="15">
        <v>329</v>
      </c>
      <c r="B330" s="2" t="s">
        <v>328</v>
      </c>
      <c r="C330" s="1">
        <v>2297</v>
      </c>
    </row>
    <row r="331" spans="1:3" x14ac:dyDescent="0.25">
      <c r="A331" s="15">
        <v>330</v>
      </c>
      <c r="B331" s="2" t="s">
        <v>329</v>
      </c>
      <c r="C331" s="1">
        <v>8247</v>
      </c>
    </row>
    <row r="332" spans="1:3" x14ac:dyDescent="0.25">
      <c r="A332" s="15">
        <v>331</v>
      </c>
      <c r="B332" s="2" t="s">
        <v>330</v>
      </c>
      <c r="C332" s="1">
        <v>6753</v>
      </c>
    </row>
    <row r="333" spans="1:3" x14ac:dyDescent="0.25">
      <c r="A333" s="15">
        <v>332</v>
      </c>
      <c r="B333" s="2" t="s">
        <v>331</v>
      </c>
      <c r="C333" s="1">
        <v>2088</v>
      </c>
    </row>
    <row r="334" spans="1:3" x14ac:dyDescent="0.25">
      <c r="A334" s="15">
        <v>333</v>
      </c>
      <c r="B334" s="2" t="s">
        <v>332</v>
      </c>
      <c r="C334" s="1">
        <v>18640</v>
      </c>
    </row>
    <row r="335" spans="1:3" x14ac:dyDescent="0.25">
      <c r="A335" s="15">
        <v>334</v>
      </c>
      <c r="B335" s="2" t="s">
        <v>333</v>
      </c>
      <c r="C335" s="1">
        <v>14397</v>
      </c>
    </row>
    <row r="336" spans="1:3" x14ac:dyDescent="0.25">
      <c r="A336" s="15">
        <v>335</v>
      </c>
      <c r="B336" s="2" t="s">
        <v>334</v>
      </c>
      <c r="C336" s="1">
        <v>11943</v>
      </c>
    </row>
    <row r="337" spans="1:3" x14ac:dyDescent="0.25">
      <c r="A337" s="15">
        <v>336</v>
      </c>
      <c r="B337" s="2" t="s">
        <v>335</v>
      </c>
      <c r="C337" s="1">
        <v>10653</v>
      </c>
    </row>
    <row r="338" spans="1:3" x14ac:dyDescent="0.25">
      <c r="A338" s="15">
        <v>337</v>
      </c>
      <c r="B338" s="2" t="s">
        <v>336</v>
      </c>
      <c r="C338" s="1">
        <v>1097</v>
      </c>
    </row>
    <row r="339" spans="1:3" x14ac:dyDescent="0.25">
      <c r="A339" s="15">
        <v>338</v>
      </c>
      <c r="B339" s="2" t="s">
        <v>337</v>
      </c>
      <c r="C339" s="1">
        <v>12065</v>
      </c>
    </row>
    <row r="340" spans="1:3" x14ac:dyDescent="0.25">
      <c r="A340" s="15">
        <v>339</v>
      </c>
      <c r="B340" s="2" t="s">
        <v>338</v>
      </c>
      <c r="C340" s="1">
        <v>14116</v>
      </c>
    </row>
    <row r="341" spans="1:3" x14ac:dyDescent="0.25">
      <c r="A341" s="15">
        <v>340</v>
      </c>
      <c r="B341" s="2" t="s">
        <v>339</v>
      </c>
      <c r="C341" s="1">
        <v>13568</v>
      </c>
    </row>
    <row r="342" spans="1:3" x14ac:dyDescent="0.25">
      <c r="A342" s="15">
        <v>341</v>
      </c>
      <c r="B342" s="2" t="s">
        <v>340</v>
      </c>
      <c r="C342" s="1">
        <v>17514</v>
      </c>
    </row>
    <row r="343" spans="1:3" x14ac:dyDescent="0.25">
      <c r="A343" s="15">
        <v>342</v>
      </c>
      <c r="B343" s="2" t="s">
        <v>341</v>
      </c>
      <c r="C343" s="1">
        <v>17248</v>
      </c>
    </row>
    <row r="344" spans="1:3" x14ac:dyDescent="0.25">
      <c r="A344" s="15">
        <v>343</v>
      </c>
      <c r="B344" s="2" t="s">
        <v>342</v>
      </c>
      <c r="C344" s="1">
        <v>5673</v>
      </c>
    </row>
    <row r="345" spans="1:3" x14ac:dyDescent="0.25">
      <c r="A345" s="15">
        <v>344</v>
      </c>
      <c r="B345" s="2" t="s">
        <v>343</v>
      </c>
      <c r="C345" s="1">
        <v>7209</v>
      </c>
    </row>
    <row r="346" spans="1:3" x14ac:dyDescent="0.25">
      <c r="A346" s="15">
        <v>345</v>
      </c>
      <c r="B346" s="2" t="s">
        <v>344</v>
      </c>
      <c r="C346" s="1">
        <v>1128</v>
      </c>
    </row>
    <row r="347" spans="1:3" x14ac:dyDescent="0.25">
      <c r="A347" s="15">
        <v>346</v>
      </c>
      <c r="B347" s="2" t="s">
        <v>345</v>
      </c>
      <c r="C347" s="1">
        <v>9105</v>
      </c>
    </row>
    <row r="348" spans="1:3" x14ac:dyDescent="0.25">
      <c r="A348" s="15">
        <v>347</v>
      </c>
      <c r="B348" s="2" t="s">
        <v>346</v>
      </c>
      <c r="C348" s="1">
        <v>6933</v>
      </c>
    </row>
    <row r="349" spans="1:3" x14ac:dyDescent="0.25">
      <c r="A349" s="15">
        <v>348</v>
      </c>
      <c r="B349" s="2" t="s">
        <v>347</v>
      </c>
      <c r="C349" s="1">
        <v>8283</v>
      </c>
    </row>
    <row r="350" spans="1:3" x14ac:dyDescent="0.25">
      <c r="A350" s="15">
        <v>349</v>
      </c>
      <c r="B350" s="2" t="s">
        <v>348</v>
      </c>
      <c r="C350" s="1">
        <v>4208</v>
      </c>
    </row>
    <row r="351" spans="1:3" x14ac:dyDescent="0.25">
      <c r="A351" s="15">
        <v>350</v>
      </c>
      <c r="B351" s="2" t="s">
        <v>349</v>
      </c>
      <c r="C351" s="1">
        <v>16373</v>
      </c>
    </row>
    <row r="352" spans="1:3" x14ac:dyDescent="0.25">
      <c r="A352" s="15">
        <v>351</v>
      </c>
      <c r="B352" s="2" t="s">
        <v>350</v>
      </c>
      <c r="C352" s="1">
        <v>10324</v>
      </c>
    </row>
    <row r="353" spans="1:3" x14ac:dyDescent="0.25">
      <c r="A353" s="15">
        <v>352</v>
      </c>
      <c r="B353" s="2" t="s">
        <v>351</v>
      </c>
      <c r="C353" s="1">
        <v>19705</v>
      </c>
    </row>
    <row r="354" spans="1:3" x14ac:dyDescent="0.25">
      <c r="A354" s="15">
        <v>353</v>
      </c>
      <c r="B354" s="2" t="s">
        <v>352</v>
      </c>
      <c r="C354" s="1">
        <v>12578</v>
      </c>
    </row>
    <row r="355" spans="1:3" x14ac:dyDescent="0.25">
      <c r="A355" s="15">
        <v>354</v>
      </c>
      <c r="B355" s="2" t="s">
        <v>353</v>
      </c>
      <c r="C355" s="1">
        <v>9138</v>
      </c>
    </row>
    <row r="356" spans="1:3" x14ac:dyDescent="0.25">
      <c r="A356" s="15">
        <v>355</v>
      </c>
      <c r="B356" s="2" t="s">
        <v>354</v>
      </c>
      <c r="C356" s="1">
        <v>13786</v>
      </c>
    </row>
    <row r="357" spans="1:3" x14ac:dyDescent="0.25">
      <c r="A357" s="15">
        <v>356</v>
      </c>
      <c r="B357" s="2" t="s">
        <v>355</v>
      </c>
      <c r="C357" s="1">
        <v>16738</v>
      </c>
    </row>
    <row r="358" spans="1:3" x14ac:dyDescent="0.25">
      <c r="A358" s="15">
        <v>357</v>
      </c>
      <c r="B358" s="2" t="s">
        <v>356</v>
      </c>
      <c r="C358" s="1">
        <v>18431</v>
      </c>
    </row>
    <row r="359" spans="1:3" x14ac:dyDescent="0.25">
      <c r="A359" s="15">
        <v>358</v>
      </c>
      <c r="B359" s="2" t="s">
        <v>357</v>
      </c>
      <c r="C359" s="1">
        <v>18611</v>
      </c>
    </row>
    <row r="360" spans="1:3" x14ac:dyDescent="0.25">
      <c r="A360" s="15">
        <v>359</v>
      </c>
      <c r="B360" s="2" t="s">
        <v>358</v>
      </c>
      <c r="C360" s="1">
        <v>18603</v>
      </c>
    </row>
    <row r="361" spans="1:3" x14ac:dyDescent="0.25">
      <c r="A361" s="15">
        <v>360</v>
      </c>
      <c r="B361" s="2" t="s">
        <v>359</v>
      </c>
      <c r="C361" s="1">
        <v>6658</v>
      </c>
    </row>
    <row r="362" spans="1:3" x14ac:dyDescent="0.25">
      <c r="A362" s="15">
        <v>361</v>
      </c>
      <c r="B362" s="2" t="s">
        <v>360</v>
      </c>
      <c r="C362" s="1">
        <v>15759</v>
      </c>
    </row>
    <row r="363" spans="1:3" x14ac:dyDescent="0.25">
      <c r="A363" s="15">
        <v>362</v>
      </c>
      <c r="B363" s="2" t="s">
        <v>361</v>
      </c>
      <c r="C363" s="1">
        <v>4350</v>
      </c>
    </row>
    <row r="364" spans="1:3" x14ac:dyDescent="0.25">
      <c r="A364" s="15">
        <v>363</v>
      </c>
      <c r="B364" s="2" t="s">
        <v>362</v>
      </c>
      <c r="C364" s="1">
        <v>15044</v>
      </c>
    </row>
    <row r="365" spans="1:3" x14ac:dyDescent="0.25">
      <c r="A365" s="15">
        <v>364</v>
      </c>
      <c r="B365" s="2" t="s">
        <v>363</v>
      </c>
      <c r="C365" s="1">
        <v>19305</v>
      </c>
    </row>
    <row r="366" spans="1:3" x14ac:dyDescent="0.25">
      <c r="A366" s="15">
        <v>365</v>
      </c>
      <c r="B366" s="2" t="s">
        <v>364</v>
      </c>
      <c r="C366" s="1">
        <v>6044</v>
      </c>
    </row>
    <row r="367" spans="1:3" x14ac:dyDescent="0.25">
      <c r="A367" s="15">
        <v>366</v>
      </c>
      <c r="B367" s="2" t="s">
        <v>365</v>
      </c>
      <c r="C367" s="1">
        <v>4786</v>
      </c>
    </row>
    <row r="368" spans="1:3" x14ac:dyDescent="0.25">
      <c r="A368" s="15">
        <v>367</v>
      </c>
      <c r="B368" s="2" t="s">
        <v>366</v>
      </c>
      <c r="C368" s="1">
        <v>19024</v>
      </c>
    </row>
    <row r="369" spans="1:3" x14ac:dyDescent="0.25">
      <c r="A369" s="15">
        <v>368</v>
      </c>
      <c r="B369" s="2" t="s">
        <v>367</v>
      </c>
      <c r="C369" s="1">
        <v>4492</v>
      </c>
    </row>
    <row r="370" spans="1:3" x14ac:dyDescent="0.25">
      <c r="A370" s="15">
        <v>369</v>
      </c>
      <c r="B370" s="2" t="s">
        <v>368</v>
      </c>
      <c r="C370" s="1">
        <v>17329</v>
      </c>
    </row>
    <row r="371" spans="1:3" x14ac:dyDescent="0.25">
      <c r="A371" s="15">
        <v>370</v>
      </c>
      <c r="B371" s="2" t="s">
        <v>369</v>
      </c>
      <c r="C371" s="1">
        <v>13530</v>
      </c>
    </row>
    <row r="372" spans="1:3" x14ac:dyDescent="0.25">
      <c r="A372" s="15">
        <v>371</v>
      </c>
      <c r="B372" s="2" t="s">
        <v>370</v>
      </c>
      <c r="C372" s="1">
        <v>11572</v>
      </c>
    </row>
    <row r="373" spans="1:3" x14ac:dyDescent="0.25">
      <c r="A373" s="15">
        <v>372</v>
      </c>
      <c r="B373" s="2" t="s">
        <v>371</v>
      </c>
      <c r="C373" s="1">
        <v>14417</v>
      </c>
    </row>
    <row r="374" spans="1:3" x14ac:dyDescent="0.25">
      <c r="A374" s="15">
        <v>373</v>
      </c>
      <c r="B374" s="2" t="s">
        <v>372</v>
      </c>
      <c r="C374" s="1">
        <v>18904</v>
      </c>
    </row>
    <row r="375" spans="1:3" x14ac:dyDescent="0.25">
      <c r="A375" s="15">
        <v>374</v>
      </c>
      <c r="B375" s="2" t="s">
        <v>373</v>
      </c>
      <c r="C375" s="1">
        <v>10352</v>
      </c>
    </row>
    <row r="376" spans="1:3" x14ac:dyDescent="0.25">
      <c r="A376" s="15">
        <v>375</v>
      </c>
      <c r="B376" s="2" t="s">
        <v>374</v>
      </c>
      <c r="C376" s="1">
        <v>3217</v>
      </c>
    </row>
    <row r="377" spans="1:3" x14ac:dyDescent="0.25">
      <c r="A377" s="15">
        <v>376</v>
      </c>
      <c r="B377" s="2" t="s">
        <v>375</v>
      </c>
      <c r="C377" s="1">
        <v>18457</v>
      </c>
    </row>
    <row r="378" spans="1:3" x14ac:dyDescent="0.25">
      <c r="A378" s="15">
        <v>377</v>
      </c>
      <c r="B378" s="2" t="s">
        <v>376</v>
      </c>
      <c r="C378" s="1">
        <v>1849</v>
      </c>
    </row>
    <row r="379" spans="1:3" x14ac:dyDescent="0.25">
      <c r="A379" s="15">
        <v>378</v>
      </c>
      <c r="B379" s="2" t="s">
        <v>377</v>
      </c>
      <c r="C379" s="1">
        <v>6215</v>
      </c>
    </row>
    <row r="380" spans="1:3" x14ac:dyDescent="0.25">
      <c r="A380" s="15">
        <v>379</v>
      </c>
      <c r="B380" s="2" t="s">
        <v>378</v>
      </c>
      <c r="C380" s="1">
        <v>19730</v>
      </c>
    </row>
    <row r="381" spans="1:3" x14ac:dyDescent="0.25">
      <c r="A381" s="15">
        <v>380</v>
      </c>
      <c r="B381" s="2" t="s">
        <v>379</v>
      </c>
      <c r="C381" s="1">
        <v>5494</v>
      </c>
    </row>
    <row r="382" spans="1:3" x14ac:dyDescent="0.25">
      <c r="A382" s="15">
        <v>381</v>
      </c>
      <c r="B382" s="2" t="s">
        <v>380</v>
      </c>
      <c r="C382" s="1">
        <v>1759</v>
      </c>
    </row>
    <row r="383" spans="1:3" x14ac:dyDescent="0.25">
      <c r="A383" s="15">
        <v>382</v>
      </c>
      <c r="B383" s="2" t="s">
        <v>381</v>
      </c>
      <c r="C383" s="1">
        <v>4012</v>
      </c>
    </row>
    <row r="384" spans="1:3" x14ac:dyDescent="0.25">
      <c r="A384" s="15">
        <v>383</v>
      </c>
      <c r="B384" s="2" t="s">
        <v>382</v>
      </c>
      <c r="C384" s="1">
        <v>5359</v>
      </c>
    </row>
    <row r="385" spans="1:3" x14ac:dyDescent="0.25">
      <c r="A385" s="15">
        <v>384</v>
      </c>
      <c r="B385" s="2" t="s">
        <v>383</v>
      </c>
      <c r="C385" s="1">
        <v>12340</v>
      </c>
    </row>
    <row r="386" spans="1:3" x14ac:dyDescent="0.25">
      <c r="A386" s="15">
        <v>385</v>
      </c>
      <c r="B386" s="2" t="s">
        <v>384</v>
      </c>
      <c r="C386" s="1">
        <v>4355</v>
      </c>
    </row>
    <row r="387" spans="1:3" x14ac:dyDescent="0.25">
      <c r="A387" s="15">
        <v>386</v>
      </c>
      <c r="B387" s="2" t="s">
        <v>385</v>
      </c>
      <c r="C387" s="1">
        <v>2422</v>
      </c>
    </row>
    <row r="388" spans="1:3" x14ac:dyDescent="0.25">
      <c r="A388" s="15">
        <v>387</v>
      </c>
      <c r="B388" s="2" t="s">
        <v>386</v>
      </c>
      <c r="C388" s="1">
        <v>4740</v>
      </c>
    </row>
    <row r="389" spans="1:3" x14ac:dyDescent="0.25">
      <c r="A389" s="15">
        <v>388</v>
      </c>
      <c r="B389" s="2" t="s">
        <v>387</v>
      </c>
      <c r="C389" s="1">
        <v>1457</v>
      </c>
    </row>
    <row r="390" spans="1:3" x14ac:dyDescent="0.25">
      <c r="A390" s="15">
        <v>389</v>
      </c>
      <c r="B390" s="2" t="s">
        <v>388</v>
      </c>
      <c r="C390" s="1">
        <v>12816</v>
      </c>
    </row>
    <row r="391" spans="1:3" x14ac:dyDescent="0.25">
      <c r="A391" s="15">
        <v>390</v>
      </c>
      <c r="B391" s="2" t="s">
        <v>389</v>
      </c>
      <c r="C391" s="1">
        <v>15710</v>
      </c>
    </row>
    <row r="392" spans="1:3" x14ac:dyDescent="0.25">
      <c r="A392" s="15">
        <v>391</v>
      </c>
      <c r="B392" s="2" t="s">
        <v>390</v>
      </c>
      <c r="C392" s="1">
        <v>8384</v>
      </c>
    </row>
    <row r="393" spans="1:3" x14ac:dyDescent="0.25">
      <c r="A393" s="15">
        <v>392</v>
      </c>
      <c r="B393" s="2" t="s">
        <v>391</v>
      </c>
      <c r="C393" s="1">
        <v>605</v>
      </c>
    </row>
    <row r="394" spans="1:3" x14ac:dyDescent="0.25">
      <c r="A394" s="15">
        <v>393</v>
      </c>
      <c r="B394" s="2" t="s">
        <v>392</v>
      </c>
      <c r="C394" s="1">
        <v>10657</v>
      </c>
    </row>
    <row r="395" spans="1:3" x14ac:dyDescent="0.25">
      <c r="A395" s="15">
        <v>394</v>
      </c>
      <c r="B395" s="2" t="s">
        <v>393</v>
      </c>
      <c r="C395" s="1">
        <v>6661</v>
      </c>
    </row>
    <row r="396" spans="1:3" x14ac:dyDescent="0.25">
      <c r="A396" s="15">
        <v>395</v>
      </c>
      <c r="B396" s="2" t="s">
        <v>394</v>
      </c>
      <c r="C396" s="1">
        <v>673</v>
      </c>
    </row>
    <row r="397" spans="1:3" x14ac:dyDescent="0.25">
      <c r="A397" s="15">
        <v>396</v>
      </c>
      <c r="B397" s="2" t="s">
        <v>395</v>
      </c>
      <c r="C397" s="1">
        <v>10362</v>
      </c>
    </row>
    <row r="398" spans="1:3" x14ac:dyDescent="0.25">
      <c r="A398" s="15">
        <v>397</v>
      </c>
      <c r="B398" s="2" t="s">
        <v>396</v>
      </c>
      <c r="C398" s="1">
        <v>18845</v>
      </c>
    </row>
    <row r="399" spans="1:3" x14ac:dyDescent="0.25">
      <c r="A399" s="15">
        <v>398</v>
      </c>
      <c r="B399" s="2" t="s">
        <v>397</v>
      </c>
      <c r="C399" s="1">
        <v>8264</v>
      </c>
    </row>
    <row r="400" spans="1:3" x14ac:dyDescent="0.25">
      <c r="A400" s="15">
        <v>399</v>
      </c>
      <c r="B400" s="2" t="s">
        <v>398</v>
      </c>
      <c r="C400" s="1">
        <v>12135</v>
      </c>
    </row>
    <row r="401" spans="1:3" x14ac:dyDescent="0.25">
      <c r="A401" s="15">
        <v>400</v>
      </c>
      <c r="B401" s="2" t="s">
        <v>399</v>
      </c>
      <c r="C401" s="1">
        <v>12117</v>
      </c>
    </row>
    <row r="402" spans="1:3" x14ac:dyDescent="0.25">
      <c r="A402" s="15">
        <v>401</v>
      </c>
      <c r="B402" s="2" t="s">
        <v>400</v>
      </c>
      <c r="C402" s="1">
        <v>18685</v>
      </c>
    </row>
    <row r="403" spans="1:3" x14ac:dyDescent="0.25">
      <c r="A403" s="15">
        <v>402</v>
      </c>
      <c r="B403" s="2" t="s">
        <v>401</v>
      </c>
      <c r="C403" s="1">
        <v>6643</v>
      </c>
    </row>
    <row r="404" spans="1:3" x14ac:dyDescent="0.25">
      <c r="A404" s="15">
        <v>403</v>
      </c>
      <c r="B404" s="2" t="s">
        <v>402</v>
      </c>
      <c r="C404" s="1">
        <v>3935</v>
      </c>
    </row>
    <row r="405" spans="1:3" x14ac:dyDescent="0.25">
      <c r="A405" s="15">
        <v>404</v>
      </c>
      <c r="B405" s="2" t="s">
        <v>403</v>
      </c>
      <c r="C405" s="1">
        <v>11190</v>
      </c>
    </row>
    <row r="406" spans="1:3" x14ac:dyDescent="0.25">
      <c r="A406" s="15">
        <v>405</v>
      </c>
      <c r="B406" s="2" t="s">
        <v>404</v>
      </c>
      <c r="C406" s="1">
        <v>3462</v>
      </c>
    </row>
    <row r="407" spans="1:3" x14ac:dyDescent="0.25">
      <c r="A407" s="15">
        <v>406</v>
      </c>
      <c r="B407" s="2" t="s">
        <v>405</v>
      </c>
      <c r="C407" s="1">
        <v>7822</v>
      </c>
    </row>
    <row r="408" spans="1:3" x14ac:dyDescent="0.25">
      <c r="A408" s="15">
        <v>407</v>
      </c>
      <c r="B408" s="2" t="s">
        <v>406</v>
      </c>
      <c r="C408" s="1">
        <v>19621</v>
      </c>
    </row>
    <row r="409" spans="1:3" x14ac:dyDescent="0.25">
      <c r="A409" s="15">
        <v>408</v>
      </c>
      <c r="B409" s="2" t="s">
        <v>407</v>
      </c>
      <c r="C409" s="1">
        <v>15318</v>
      </c>
    </row>
    <row r="410" spans="1:3" x14ac:dyDescent="0.25">
      <c r="A410" s="15">
        <v>409</v>
      </c>
      <c r="B410" s="2" t="s">
        <v>408</v>
      </c>
      <c r="C410" s="1">
        <v>12754</v>
      </c>
    </row>
    <row r="411" spans="1:3" x14ac:dyDescent="0.25">
      <c r="A411" s="15">
        <v>410</v>
      </c>
      <c r="B411" s="2" t="s">
        <v>409</v>
      </c>
      <c r="C411" s="1">
        <v>16971</v>
      </c>
    </row>
    <row r="412" spans="1:3" x14ac:dyDescent="0.25">
      <c r="A412" s="15">
        <v>411</v>
      </c>
      <c r="B412" s="2" t="s">
        <v>410</v>
      </c>
      <c r="C412" s="1">
        <v>5649</v>
      </c>
    </row>
    <row r="413" spans="1:3" x14ac:dyDescent="0.25">
      <c r="A413" s="15">
        <v>412</v>
      </c>
      <c r="B413" s="2" t="s">
        <v>411</v>
      </c>
      <c r="C413" s="1">
        <v>4060</v>
      </c>
    </row>
    <row r="414" spans="1:3" x14ac:dyDescent="0.25">
      <c r="A414" s="15">
        <v>413</v>
      </c>
      <c r="B414" s="2" t="s">
        <v>412</v>
      </c>
      <c r="C414" s="1">
        <v>11672</v>
      </c>
    </row>
    <row r="415" spans="1:3" x14ac:dyDescent="0.25">
      <c r="A415" s="15">
        <v>414</v>
      </c>
      <c r="B415" s="2" t="s">
        <v>413</v>
      </c>
      <c r="C415" s="1">
        <v>19354</v>
      </c>
    </row>
    <row r="416" spans="1:3" x14ac:dyDescent="0.25">
      <c r="A416" s="15">
        <v>415</v>
      </c>
      <c r="B416" s="2" t="s">
        <v>414</v>
      </c>
      <c r="C416" s="1">
        <v>6431</v>
      </c>
    </row>
    <row r="417" spans="1:3" x14ac:dyDescent="0.25">
      <c r="A417" s="15">
        <v>416</v>
      </c>
      <c r="B417" s="2" t="s">
        <v>415</v>
      </c>
      <c r="C417" s="1">
        <v>13770</v>
      </c>
    </row>
    <row r="418" spans="1:3" x14ac:dyDescent="0.25">
      <c r="A418" s="15">
        <v>417</v>
      </c>
      <c r="B418" s="2" t="s">
        <v>416</v>
      </c>
      <c r="C418" s="1">
        <v>13922</v>
      </c>
    </row>
    <row r="419" spans="1:3" x14ac:dyDescent="0.25">
      <c r="A419" s="15">
        <v>418</v>
      </c>
      <c r="B419" s="2" t="s">
        <v>417</v>
      </c>
      <c r="C419" s="1">
        <v>1015</v>
      </c>
    </row>
    <row r="420" spans="1:3" x14ac:dyDescent="0.25">
      <c r="A420" s="15">
        <v>419</v>
      </c>
      <c r="B420" s="2" t="s">
        <v>418</v>
      </c>
      <c r="C420" s="1">
        <v>4142</v>
      </c>
    </row>
    <row r="421" spans="1:3" x14ac:dyDescent="0.25">
      <c r="A421" s="15">
        <v>420</v>
      </c>
      <c r="B421" s="2" t="s">
        <v>419</v>
      </c>
      <c r="C421" s="1">
        <v>13255</v>
      </c>
    </row>
    <row r="422" spans="1:3" x14ac:dyDescent="0.25">
      <c r="A422" s="15">
        <v>421</v>
      </c>
      <c r="B422" s="2" t="s">
        <v>420</v>
      </c>
      <c r="C422" s="1">
        <v>17002</v>
      </c>
    </row>
    <row r="423" spans="1:3" x14ac:dyDescent="0.25">
      <c r="A423" s="15">
        <v>422</v>
      </c>
      <c r="B423" s="2" t="s">
        <v>421</v>
      </c>
      <c r="C423" s="1">
        <v>19137</v>
      </c>
    </row>
    <row r="424" spans="1:3" x14ac:dyDescent="0.25">
      <c r="A424" s="15">
        <v>423</v>
      </c>
      <c r="B424" s="2" t="s">
        <v>422</v>
      </c>
      <c r="C424" s="1">
        <v>10536</v>
      </c>
    </row>
    <row r="425" spans="1:3" x14ac:dyDescent="0.25">
      <c r="A425" s="15">
        <v>424</v>
      </c>
      <c r="B425" s="2" t="s">
        <v>423</v>
      </c>
      <c r="C425" s="1">
        <v>2038</v>
      </c>
    </row>
    <row r="426" spans="1:3" x14ac:dyDescent="0.25">
      <c r="A426" s="15">
        <v>425</v>
      </c>
      <c r="B426" s="2" t="s">
        <v>424</v>
      </c>
      <c r="C426" s="1">
        <v>18464</v>
      </c>
    </row>
    <row r="427" spans="1:3" x14ac:dyDescent="0.25">
      <c r="A427" s="15">
        <v>426</v>
      </c>
      <c r="B427" s="2" t="s">
        <v>425</v>
      </c>
      <c r="C427" s="1">
        <v>9951</v>
      </c>
    </row>
    <row r="428" spans="1:3" x14ac:dyDescent="0.25">
      <c r="A428" s="15">
        <v>427</v>
      </c>
      <c r="B428" s="2" t="s">
        <v>426</v>
      </c>
      <c r="C428" s="1">
        <v>5510</v>
      </c>
    </row>
    <row r="429" spans="1:3" x14ac:dyDescent="0.25">
      <c r="A429" s="15">
        <v>428</v>
      </c>
      <c r="B429" s="2" t="s">
        <v>427</v>
      </c>
      <c r="C429" s="1">
        <v>5669</v>
      </c>
    </row>
    <row r="430" spans="1:3" x14ac:dyDescent="0.25">
      <c r="A430" s="15">
        <v>429</v>
      </c>
      <c r="B430" s="2" t="s">
        <v>428</v>
      </c>
      <c r="C430" s="1">
        <v>6966</v>
      </c>
    </row>
    <row r="431" spans="1:3" x14ac:dyDescent="0.25">
      <c r="A431" s="15">
        <v>430</v>
      </c>
      <c r="B431" s="2" t="s">
        <v>429</v>
      </c>
      <c r="C431" s="1">
        <v>18449</v>
      </c>
    </row>
    <row r="432" spans="1:3" x14ac:dyDescent="0.25">
      <c r="A432" s="15">
        <v>431</v>
      </c>
      <c r="B432" s="2" t="s">
        <v>430</v>
      </c>
      <c r="C432" s="1">
        <v>5637</v>
      </c>
    </row>
    <row r="433" spans="1:3" x14ac:dyDescent="0.25">
      <c r="A433" s="15">
        <v>432</v>
      </c>
      <c r="B433" s="2" t="s">
        <v>431</v>
      </c>
      <c r="C433" s="1">
        <v>15500</v>
      </c>
    </row>
    <row r="434" spans="1:3" x14ac:dyDescent="0.25">
      <c r="A434" s="15">
        <v>433</v>
      </c>
      <c r="B434" s="2" t="s">
        <v>432</v>
      </c>
      <c r="C434" s="1">
        <v>16681</v>
      </c>
    </row>
    <row r="435" spans="1:3" x14ac:dyDescent="0.25">
      <c r="A435" s="15">
        <v>434</v>
      </c>
      <c r="B435" s="2" t="s">
        <v>433</v>
      </c>
      <c r="C435" s="1">
        <v>10834</v>
      </c>
    </row>
    <row r="436" spans="1:3" x14ac:dyDescent="0.25">
      <c r="A436" s="15">
        <v>435</v>
      </c>
      <c r="B436" s="2" t="s">
        <v>434</v>
      </c>
      <c r="C436" s="1">
        <v>2575</v>
      </c>
    </row>
    <row r="437" spans="1:3" x14ac:dyDescent="0.25">
      <c r="A437" s="15">
        <v>436</v>
      </c>
      <c r="B437" s="2" t="s">
        <v>435</v>
      </c>
      <c r="C437" s="1">
        <v>6219</v>
      </c>
    </row>
    <row r="438" spans="1:3" x14ac:dyDescent="0.25">
      <c r="A438" s="15">
        <v>437</v>
      </c>
      <c r="B438" s="2" t="s">
        <v>436</v>
      </c>
      <c r="C438" s="1">
        <v>12597</v>
      </c>
    </row>
    <row r="439" spans="1:3" x14ac:dyDescent="0.25">
      <c r="A439" s="15">
        <v>438</v>
      </c>
      <c r="B439" s="2" t="s">
        <v>437</v>
      </c>
      <c r="C439" s="1">
        <v>5645</v>
      </c>
    </row>
    <row r="440" spans="1:3" x14ac:dyDescent="0.25">
      <c r="A440" s="15">
        <v>439</v>
      </c>
      <c r="B440" s="2" t="s">
        <v>438</v>
      </c>
      <c r="C440" s="1">
        <v>1129</v>
      </c>
    </row>
    <row r="441" spans="1:3" x14ac:dyDescent="0.25">
      <c r="A441" s="15">
        <v>440</v>
      </c>
      <c r="B441" s="2" t="s">
        <v>439</v>
      </c>
      <c r="C441" s="1">
        <v>18492</v>
      </c>
    </row>
    <row r="442" spans="1:3" x14ac:dyDescent="0.25">
      <c r="A442" s="15">
        <v>441</v>
      </c>
      <c r="B442" s="2" t="s">
        <v>440</v>
      </c>
      <c r="C442" s="1">
        <v>3036</v>
      </c>
    </row>
    <row r="443" spans="1:3" x14ac:dyDescent="0.25">
      <c r="A443" s="15">
        <v>442</v>
      </c>
      <c r="B443" s="2" t="s">
        <v>441</v>
      </c>
      <c r="C443" s="1">
        <v>8470</v>
      </c>
    </row>
    <row r="444" spans="1:3" x14ac:dyDescent="0.25">
      <c r="A444" s="15">
        <v>443</v>
      </c>
      <c r="B444" s="2" t="s">
        <v>442</v>
      </c>
      <c r="C444" s="1">
        <v>17170</v>
      </c>
    </row>
    <row r="445" spans="1:3" x14ac:dyDescent="0.25">
      <c r="A445" s="15">
        <v>444</v>
      </c>
      <c r="B445" s="2" t="s">
        <v>443</v>
      </c>
      <c r="C445" s="1">
        <v>16156</v>
      </c>
    </row>
    <row r="446" spans="1:3" x14ac:dyDescent="0.25">
      <c r="A446" s="15">
        <v>445</v>
      </c>
      <c r="B446" s="2" t="s">
        <v>444</v>
      </c>
      <c r="C446" s="1">
        <v>6571</v>
      </c>
    </row>
    <row r="447" spans="1:3" x14ac:dyDescent="0.25">
      <c r="A447" s="15">
        <v>446</v>
      </c>
      <c r="B447" s="2" t="s">
        <v>445</v>
      </c>
      <c r="C447" s="1">
        <v>4863</v>
      </c>
    </row>
    <row r="448" spans="1:3" x14ac:dyDescent="0.25">
      <c r="A448" s="15">
        <v>447</v>
      </c>
      <c r="B448" s="2" t="s">
        <v>446</v>
      </c>
      <c r="C448" s="1">
        <v>2007</v>
      </c>
    </row>
    <row r="449" spans="1:3" x14ac:dyDescent="0.25">
      <c r="A449" s="15">
        <v>448</v>
      </c>
      <c r="B449" s="2" t="s">
        <v>447</v>
      </c>
      <c r="C449" s="1">
        <v>9976</v>
      </c>
    </row>
    <row r="450" spans="1:3" x14ac:dyDescent="0.25">
      <c r="A450" s="15">
        <v>449</v>
      </c>
      <c r="B450" s="2" t="s">
        <v>448</v>
      </c>
      <c r="C450" s="1">
        <v>4407</v>
      </c>
    </row>
    <row r="451" spans="1:3" x14ac:dyDescent="0.25">
      <c r="A451" s="15">
        <v>450</v>
      </c>
      <c r="B451" s="2" t="s">
        <v>449</v>
      </c>
      <c r="C451" s="1">
        <v>14566</v>
      </c>
    </row>
    <row r="452" spans="1:3" x14ac:dyDescent="0.25">
      <c r="A452" s="15">
        <v>451</v>
      </c>
      <c r="B452" s="2" t="s">
        <v>450</v>
      </c>
      <c r="C452" s="1">
        <v>5747</v>
      </c>
    </row>
    <row r="453" spans="1:3" x14ac:dyDescent="0.25">
      <c r="A453" s="15">
        <v>452</v>
      </c>
      <c r="B453" s="2" t="s">
        <v>451</v>
      </c>
      <c r="C453" s="1">
        <v>5068</v>
      </c>
    </row>
    <row r="454" spans="1:3" x14ac:dyDescent="0.25">
      <c r="A454" s="15">
        <v>453</v>
      </c>
      <c r="B454" s="2" t="s">
        <v>452</v>
      </c>
      <c r="C454" s="1">
        <v>5327</v>
      </c>
    </row>
    <row r="455" spans="1:3" x14ac:dyDescent="0.25">
      <c r="A455" s="15">
        <v>454</v>
      </c>
      <c r="B455" s="2" t="s">
        <v>453</v>
      </c>
      <c r="C455" s="1">
        <v>6841</v>
      </c>
    </row>
    <row r="456" spans="1:3" x14ac:dyDescent="0.25">
      <c r="A456" s="15">
        <v>455</v>
      </c>
      <c r="B456" s="2" t="s">
        <v>454</v>
      </c>
      <c r="C456" s="1">
        <v>1083</v>
      </c>
    </row>
    <row r="457" spans="1:3" x14ac:dyDescent="0.25">
      <c r="A457" s="15">
        <v>456</v>
      </c>
      <c r="B457" s="2" t="s">
        <v>455</v>
      </c>
      <c r="C457" s="1">
        <v>11912</v>
      </c>
    </row>
    <row r="458" spans="1:3" x14ac:dyDescent="0.25">
      <c r="A458" s="15">
        <v>457</v>
      </c>
      <c r="B458" s="2" t="s">
        <v>456</v>
      </c>
      <c r="C458" s="1">
        <v>14885</v>
      </c>
    </row>
    <row r="459" spans="1:3" x14ac:dyDescent="0.25">
      <c r="A459" s="15">
        <v>458</v>
      </c>
      <c r="B459" s="2" t="s">
        <v>457</v>
      </c>
      <c r="C459" s="1">
        <v>12312</v>
      </c>
    </row>
    <row r="460" spans="1:3" x14ac:dyDescent="0.25">
      <c r="A460" s="15">
        <v>459</v>
      </c>
      <c r="B460" s="2" t="s">
        <v>458</v>
      </c>
      <c r="C460" s="1">
        <v>8045</v>
      </c>
    </row>
    <row r="461" spans="1:3" x14ac:dyDescent="0.25">
      <c r="A461" s="15">
        <v>460</v>
      </c>
      <c r="B461" s="2" t="s">
        <v>459</v>
      </c>
      <c r="C461" s="1">
        <v>18453</v>
      </c>
    </row>
    <row r="462" spans="1:3" x14ac:dyDescent="0.25">
      <c r="A462" s="15">
        <v>461</v>
      </c>
      <c r="B462" s="2" t="s">
        <v>460</v>
      </c>
      <c r="C462" s="1">
        <v>853</v>
      </c>
    </row>
    <row r="463" spans="1:3" x14ac:dyDescent="0.25">
      <c r="A463" s="15">
        <v>462</v>
      </c>
      <c r="B463" s="2" t="s">
        <v>461</v>
      </c>
      <c r="C463" s="1">
        <v>899</v>
      </c>
    </row>
    <row r="464" spans="1:3" x14ac:dyDescent="0.25">
      <c r="A464" s="15">
        <v>463</v>
      </c>
      <c r="B464" s="2" t="s">
        <v>462</v>
      </c>
      <c r="C464" s="1">
        <v>2628</v>
      </c>
    </row>
    <row r="465" spans="1:3" x14ac:dyDescent="0.25">
      <c r="A465" s="15">
        <v>464</v>
      </c>
      <c r="B465" s="2" t="s">
        <v>463</v>
      </c>
      <c r="C465" s="1">
        <v>11645</v>
      </c>
    </row>
    <row r="466" spans="1:3" x14ac:dyDescent="0.25">
      <c r="A466" s="15">
        <v>465</v>
      </c>
      <c r="B466" s="2" t="s">
        <v>464</v>
      </c>
      <c r="C466" s="1">
        <v>15668</v>
      </c>
    </row>
    <row r="467" spans="1:3" x14ac:dyDescent="0.25">
      <c r="A467" s="15">
        <v>466</v>
      </c>
      <c r="B467" s="2" t="s">
        <v>465</v>
      </c>
      <c r="C467" s="1">
        <v>10353</v>
      </c>
    </row>
    <row r="468" spans="1:3" x14ac:dyDescent="0.25">
      <c r="A468" s="15">
        <v>467</v>
      </c>
      <c r="B468" s="2" t="s">
        <v>466</v>
      </c>
      <c r="C468" s="1">
        <v>837</v>
      </c>
    </row>
    <row r="469" spans="1:3" x14ac:dyDescent="0.25">
      <c r="A469" s="15">
        <v>468</v>
      </c>
      <c r="B469" s="2" t="s">
        <v>467</v>
      </c>
      <c r="C469" s="1">
        <v>4017</v>
      </c>
    </row>
    <row r="470" spans="1:3" x14ac:dyDescent="0.25">
      <c r="A470" s="15">
        <v>469</v>
      </c>
      <c r="B470" s="2" t="s">
        <v>468</v>
      </c>
      <c r="C470" s="1">
        <v>3296</v>
      </c>
    </row>
    <row r="471" spans="1:3" x14ac:dyDescent="0.25">
      <c r="A471" s="15">
        <v>470</v>
      </c>
      <c r="B471" s="2" t="s">
        <v>469</v>
      </c>
      <c r="C471" s="1">
        <v>11212</v>
      </c>
    </row>
    <row r="472" spans="1:3" x14ac:dyDescent="0.25">
      <c r="A472" s="15">
        <v>471</v>
      </c>
      <c r="B472" s="2" t="s">
        <v>470</v>
      </c>
      <c r="C472" s="1">
        <v>15494</v>
      </c>
    </row>
    <row r="473" spans="1:3" x14ac:dyDescent="0.25">
      <c r="A473" s="15">
        <v>472</v>
      </c>
      <c r="B473" s="2" t="s">
        <v>471</v>
      </c>
      <c r="C473" s="1">
        <v>10430</v>
      </c>
    </row>
    <row r="474" spans="1:3" x14ac:dyDescent="0.25">
      <c r="A474" s="15">
        <v>473</v>
      </c>
      <c r="B474" s="2" t="s">
        <v>472</v>
      </c>
      <c r="C474" s="1">
        <v>15309</v>
      </c>
    </row>
    <row r="475" spans="1:3" x14ac:dyDescent="0.25">
      <c r="A475" s="15">
        <v>474</v>
      </c>
      <c r="B475" s="2" t="s">
        <v>473</v>
      </c>
      <c r="C475" s="1">
        <v>2634</v>
      </c>
    </row>
    <row r="476" spans="1:3" x14ac:dyDescent="0.25">
      <c r="A476" s="15">
        <v>475</v>
      </c>
      <c r="B476" s="2" t="s">
        <v>474</v>
      </c>
      <c r="C476" s="1">
        <v>17749</v>
      </c>
    </row>
    <row r="477" spans="1:3" x14ac:dyDescent="0.25">
      <c r="A477" s="15">
        <v>476</v>
      </c>
      <c r="B477" s="2" t="s">
        <v>475</v>
      </c>
      <c r="C477" s="1">
        <v>5618</v>
      </c>
    </row>
    <row r="478" spans="1:3" x14ac:dyDescent="0.25">
      <c r="A478" s="15">
        <v>477</v>
      </c>
      <c r="B478" s="2" t="s">
        <v>476</v>
      </c>
      <c r="C478" s="1">
        <v>878</v>
      </c>
    </row>
    <row r="479" spans="1:3" x14ac:dyDescent="0.25">
      <c r="A479" s="15">
        <v>478</v>
      </c>
      <c r="B479" s="2" t="s">
        <v>477</v>
      </c>
      <c r="C479" s="1">
        <v>774</v>
      </c>
    </row>
    <row r="480" spans="1:3" x14ac:dyDescent="0.25">
      <c r="A480" s="15">
        <v>479</v>
      </c>
      <c r="B480" s="2" t="s">
        <v>478</v>
      </c>
      <c r="C480" s="1">
        <v>1584</v>
      </c>
    </row>
    <row r="481" spans="1:3" x14ac:dyDescent="0.25">
      <c r="A481" s="15">
        <v>480</v>
      </c>
      <c r="B481" s="2" t="s">
        <v>479</v>
      </c>
      <c r="C481" s="1">
        <v>1819</v>
      </c>
    </row>
    <row r="482" spans="1:3" x14ac:dyDescent="0.25">
      <c r="A482" s="15">
        <v>481</v>
      </c>
      <c r="B482" s="2" t="s">
        <v>480</v>
      </c>
      <c r="C482" s="1">
        <v>16426</v>
      </c>
    </row>
    <row r="483" spans="1:3" x14ac:dyDescent="0.25">
      <c r="A483" s="15">
        <v>482</v>
      </c>
      <c r="B483" s="2" t="s">
        <v>481</v>
      </c>
      <c r="C483" s="1">
        <v>11471</v>
      </c>
    </row>
    <row r="484" spans="1:3" x14ac:dyDescent="0.25">
      <c r="A484" s="15">
        <v>483</v>
      </c>
      <c r="B484" s="2" t="s">
        <v>482</v>
      </c>
      <c r="C484" s="1">
        <v>11252</v>
      </c>
    </row>
    <row r="485" spans="1:3" x14ac:dyDescent="0.25">
      <c r="A485" s="15">
        <v>484</v>
      </c>
      <c r="B485" s="2" t="s">
        <v>483</v>
      </c>
      <c r="C485" s="1">
        <v>18223</v>
      </c>
    </row>
    <row r="486" spans="1:3" x14ac:dyDescent="0.25">
      <c r="A486" s="15">
        <v>485</v>
      </c>
      <c r="B486" s="2" t="s">
        <v>484</v>
      </c>
      <c r="C486" s="1">
        <v>15777</v>
      </c>
    </row>
    <row r="487" spans="1:3" x14ac:dyDescent="0.25">
      <c r="A487" s="15">
        <v>486</v>
      </c>
      <c r="B487" s="2" t="s">
        <v>485</v>
      </c>
      <c r="C487" s="1">
        <v>17343</v>
      </c>
    </row>
    <row r="488" spans="1:3" x14ac:dyDescent="0.25">
      <c r="A488" s="15">
        <v>487</v>
      </c>
      <c r="B488" s="2" t="s">
        <v>486</v>
      </c>
      <c r="C488" s="1">
        <v>11906</v>
      </c>
    </row>
    <row r="489" spans="1:3" x14ac:dyDescent="0.25">
      <c r="A489" s="15">
        <v>488</v>
      </c>
      <c r="B489" s="2" t="s">
        <v>487</v>
      </c>
      <c r="C489" s="1">
        <v>4183</v>
      </c>
    </row>
    <row r="490" spans="1:3" x14ac:dyDescent="0.25">
      <c r="A490" s="15">
        <v>489</v>
      </c>
      <c r="B490" s="2" t="s">
        <v>488</v>
      </c>
      <c r="C490" s="1">
        <v>14836</v>
      </c>
    </row>
    <row r="491" spans="1:3" x14ac:dyDescent="0.25">
      <c r="A491" s="15">
        <v>490</v>
      </c>
      <c r="B491" s="2" t="s">
        <v>489</v>
      </c>
      <c r="C491" s="1">
        <v>13399</v>
      </c>
    </row>
    <row r="492" spans="1:3" x14ac:dyDescent="0.25">
      <c r="A492" s="15">
        <v>491</v>
      </c>
      <c r="B492" s="2" t="s">
        <v>490</v>
      </c>
      <c r="C492" s="1">
        <v>7325</v>
      </c>
    </row>
    <row r="493" spans="1:3" x14ac:dyDescent="0.25">
      <c r="A493" s="15">
        <v>492</v>
      </c>
      <c r="B493" s="2" t="s">
        <v>491</v>
      </c>
      <c r="C493" s="1">
        <v>11906</v>
      </c>
    </row>
    <row r="494" spans="1:3" x14ac:dyDescent="0.25">
      <c r="A494" s="15">
        <v>493</v>
      </c>
      <c r="B494" s="2" t="s">
        <v>492</v>
      </c>
      <c r="C494" s="1">
        <v>4386</v>
      </c>
    </row>
    <row r="495" spans="1:3" x14ac:dyDescent="0.25">
      <c r="A495" s="15">
        <v>494</v>
      </c>
      <c r="B495" s="2" t="s">
        <v>493</v>
      </c>
      <c r="C495" s="1">
        <v>4726</v>
      </c>
    </row>
    <row r="496" spans="1:3" x14ac:dyDescent="0.25">
      <c r="A496" s="15">
        <v>495</v>
      </c>
      <c r="B496" s="2" t="s">
        <v>494</v>
      </c>
      <c r="C496" s="1">
        <v>3405</v>
      </c>
    </row>
    <row r="497" spans="1:3" x14ac:dyDescent="0.25">
      <c r="A497" s="15">
        <v>496</v>
      </c>
      <c r="B497" s="2" t="s">
        <v>495</v>
      </c>
      <c r="C497" s="1">
        <v>12788</v>
      </c>
    </row>
    <row r="498" spans="1:3" x14ac:dyDescent="0.25">
      <c r="A498" s="15">
        <v>497</v>
      </c>
      <c r="B498" s="2" t="s">
        <v>496</v>
      </c>
      <c r="C498" s="1">
        <v>12204</v>
      </c>
    </row>
    <row r="499" spans="1:3" x14ac:dyDescent="0.25">
      <c r="A499" s="15">
        <v>498</v>
      </c>
      <c r="B499" s="2" t="s">
        <v>497</v>
      </c>
      <c r="C499" s="1">
        <v>13236</v>
      </c>
    </row>
    <row r="500" spans="1:3" x14ac:dyDescent="0.25">
      <c r="A500" s="15">
        <v>499</v>
      </c>
      <c r="B500" s="2" t="s">
        <v>498</v>
      </c>
      <c r="C500" s="1">
        <v>9501</v>
      </c>
    </row>
    <row r="501" spans="1:3" x14ac:dyDescent="0.25">
      <c r="A501" s="15">
        <v>500</v>
      </c>
      <c r="B501" s="2" t="s">
        <v>499</v>
      </c>
      <c r="C501" s="1">
        <v>5842</v>
      </c>
    </row>
    <row r="502" spans="1:3" x14ac:dyDescent="0.25">
      <c r="A502" s="15">
        <v>501</v>
      </c>
      <c r="B502" s="2" t="s">
        <v>500</v>
      </c>
      <c r="C502" s="1">
        <v>13767</v>
      </c>
    </row>
    <row r="503" spans="1:3" x14ac:dyDescent="0.25">
      <c r="A503" s="15">
        <v>502</v>
      </c>
      <c r="B503" s="2" t="s">
        <v>501</v>
      </c>
      <c r="C503" s="1">
        <v>16450</v>
      </c>
    </row>
    <row r="504" spans="1:3" x14ac:dyDescent="0.25">
      <c r="A504" s="15">
        <v>503</v>
      </c>
      <c r="B504" s="2" t="s">
        <v>502</v>
      </c>
      <c r="C504" s="1">
        <v>17043</v>
      </c>
    </row>
    <row r="505" spans="1:3" x14ac:dyDescent="0.25">
      <c r="A505" s="15">
        <v>504</v>
      </c>
      <c r="B505" s="2" t="s">
        <v>503</v>
      </c>
      <c r="C505" s="1">
        <v>3767</v>
      </c>
    </row>
    <row r="506" spans="1:3" x14ac:dyDescent="0.25">
      <c r="A506" s="15">
        <v>505</v>
      </c>
      <c r="B506" s="2" t="s">
        <v>504</v>
      </c>
      <c r="C506" s="1">
        <v>19981</v>
      </c>
    </row>
    <row r="507" spans="1:3" x14ac:dyDescent="0.25">
      <c r="A507" s="15">
        <v>506</v>
      </c>
      <c r="B507" s="2" t="s">
        <v>505</v>
      </c>
      <c r="C507" s="1">
        <v>17474</v>
      </c>
    </row>
    <row r="508" spans="1:3" x14ac:dyDescent="0.25">
      <c r="A508" s="15">
        <v>507</v>
      </c>
      <c r="B508" s="2" t="s">
        <v>506</v>
      </c>
      <c r="C508" s="1">
        <v>14459</v>
      </c>
    </row>
    <row r="509" spans="1:3" x14ac:dyDescent="0.25">
      <c r="A509" s="15">
        <v>508</v>
      </c>
      <c r="B509" s="2" t="s">
        <v>507</v>
      </c>
      <c r="C509" s="1">
        <v>6265</v>
      </c>
    </row>
    <row r="510" spans="1:3" x14ac:dyDescent="0.25">
      <c r="A510" s="15">
        <v>509</v>
      </c>
      <c r="B510" s="2" t="s">
        <v>508</v>
      </c>
      <c r="C510" s="1">
        <v>1012</v>
      </c>
    </row>
    <row r="511" spans="1:3" x14ac:dyDescent="0.25">
      <c r="A511" s="15">
        <v>510</v>
      </c>
      <c r="B511" s="2" t="s">
        <v>509</v>
      </c>
      <c r="C511" s="1">
        <v>6771</v>
      </c>
    </row>
    <row r="512" spans="1:3" x14ac:dyDescent="0.25">
      <c r="A512" s="15">
        <v>511</v>
      </c>
      <c r="B512" s="2" t="s">
        <v>510</v>
      </c>
      <c r="C512" s="1">
        <v>12654</v>
      </c>
    </row>
    <row r="513" spans="1:3" x14ac:dyDescent="0.25">
      <c r="A513">
        <v>512</v>
      </c>
      <c r="B513" s="2" t="s">
        <v>511</v>
      </c>
      <c r="C513" s="1">
        <v>13042</v>
      </c>
    </row>
    <row r="514" spans="1:3" x14ac:dyDescent="0.25">
      <c r="A514">
        <v>513</v>
      </c>
      <c r="B514" s="2" t="s">
        <v>512</v>
      </c>
      <c r="C514" s="1">
        <v>11244</v>
      </c>
    </row>
    <row r="515" spans="1:3" x14ac:dyDescent="0.25">
      <c r="A515">
        <v>514</v>
      </c>
      <c r="B515" s="2" t="s">
        <v>513</v>
      </c>
      <c r="C515" s="1">
        <v>7493</v>
      </c>
    </row>
    <row r="516" spans="1:3" x14ac:dyDescent="0.25">
      <c r="A516">
        <v>515</v>
      </c>
      <c r="B516" s="2" t="s">
        <v>514</v>
      </c>
      <c r="C516" s="1">
        <v>12792</v>
      </c>
    </row>
    <row r="517" spans="1:3" x14ac:dyDescent="0.25">
      <c r="A517">
        <v>516</v>
      </c>
      <c r="B517" s="2" t="s">
        <v>515</v>
      </c>
      <c r="C517" s="1">
        <v>13912</v>
      </c>
    </row>
    <row r="518" spans="1:3" x14ac:dyDescent="0.25">
      <c r="A518">
        <v>517</v>
      </c>
      <c r="B518" s="2" t="s">
        <v>516</v>
      </c>
      <c r="C518" s="1">
        <v>16064</v>
      </c>
    </row>
    <row r="519" spans="1:3" x14ac:dyDescent="0.25">
      <c r="A519">
        <v>518</v>
      </c>
      <c r="B519" s="2" t="s">
        <v>517</v>
      </c>
      <c r="C519" s="1">
        <v>16718</v>
      </c>
    </row>
    <row r="520" spans="1:3" x14ac:dyDescent="0.25">
      <c r="A520">
        <v>519</v>
      </c>
      <c r="B520" s="2" t="s">
        <v>518</v>
      </c>
      <c r="C520" s="1">
        <v>9139</v>
      </c>
    </row>
    <row r="521" spans="1:3" x14ac:dyDescent="0.25">
      <c r="A521">
        <v>520</v>
      </c>
      <c r="B521" s="2" t="s">
        <v>519</v>
      </c>
      <c r="C521" s="1">
        <v>12533</v>
      </c>
    </row>
    <row r="522" spans="1:3" x14ac:dyDescent="0.25">
      <c r="A522">
        <v>521</v>
      </c>
      <c r="B522" s="2" t="s">
        <v>520</v>
      </c>
      <c r="C522" s="1">
        <v>2718</v>
      </c>
    </row>
    <row r="523" spans="1:3" x14ac:dyDescent="0.25">
      <c r="A523">
        <v>522</v>
      </c>
      <c r="B523" s="2" t="s">
        <v>521</v>
      </c>
      <c r="C523" s="1">
        <v>14463</v>
      </c>
    </row>
    <row r="524" spans="1:3" x14ac:dyDescent="0.25">
      <c r="A524">
        <v>523</v>
      </c>
      <c r="B524" s="2" t="s">
        <v>522</v>
      </c>
      <c r="C524" s="1">
        <v>12469</v>
      </c>
    </row>
    <row r="525" spans="1:3" x14ac:dyDescent="0.25">
      <c r="A525">
        <v>524</v>
      </c>
      <c r="B525" s="2" t="s">
        <v>523</v>
      </c>
      <c r="C525" s="1">
        <v>15603</v>
      </c>
    </row>
    <row r="526" spans="1:3" x14ac:dyDescent="0.25">
      <c r="A526">
        <v>525</v>
      </c>
      <c r="B526" s="2" t="s">
        <v>524</v>
      </c>
      <c r="C526" s="1">
        <v>6583</v>
      </c>
    </row>
    <row r="527" spans="1:3" x14ac:dyDescent="0.25">
      <c r="A527">
        <v>526</v>
      </c>
      <c r="B527" s="2" t="s">
        <v>525</v>
      </c>
      <c r="C527" s="1">
        <v>18430</v>
      </c>
    </row>
    <row r="528" spans="1:3" x14ac:dyDescent="0.25">
      <c r="A528">
        <v>527</v>
      </c>
      <c r="B528" s="2" t="s">
        <v>526</v>
      </c>
      <c r="C528" s="1">
        <v>12097</v>
      </c>
    </row>
    <row r="529" spans="1:3" x14ac:dyDescent="0.25">
      <c r="A529">
        <v>528</v>
      </c>
      <c r="B529" s="2" t="s">
        <v>527</v>
      </c>
      <c r="C529" s="1">
        <v>18431</v>
      </c>
    </row>
    <row r="530" spans="1:3" x14ac:dyDescent="0.25">
      <c r="A530">
        <v>529</v>
      </c>
      <c r="B530" s="2" t="s">
        <v>528</v>
      </c>
      <c r="C530" s="1">
        <v>9184</v>
      </c>
    </row>
    <row r="531" spans="1:3" x14ac:dyDescent="0.25">
      <c r="A531">
        <v>530</v>
      </c>
      <c r="B531" s="2" t="s">
        <v>529</v>
      </c>
      <c r="C531" s="1">
        <v>16355</v>
      </c>
    </row>
    <row r="532" spans="1:3" x14ac:dyDescent="0.25">
      <c r="A532">
        <v>531</v>
      </c>
      <c r="B532" s="2" t="s">
        <v>530</v>
      </c>
      <c r="C532" s="1">
        <v>5233</v>
      </c>
    </row>
    <row r="533" spans="1:3" x14ac:dyDescent="0.25">
      <c r="A533">
        <v>532</v>
      </c>
      <c r="B533" s="2" t="s">
        <v>531</v>
      </c>
      <c r="C533" s="1">
        <v>2124</v>
      </c>
    </row>
    <row r="534" spans="1:3" x14ac:dyDescent="0.25">
      <c r="A534">
        <v>533</v>
      </c>
      <c r="B534" s="2" t="s">
        <v>532</v>
      </c>
      <c r="C534" s="1">
        <v>13254</v>
      </c>
    </row>
    <row r="535" spans="1:3" x14ac:dyDescent="0.25">
      <c r="A535">
        <v>534</v>
      </c>
      <c r="B535" s="2" t="s">
        <v>533</v>
      </c>
      <c r="C535" s="1">
        <v>15455</v>
      </c>
    </row>
    <row r="536" spans="1:3" x14ac:dyDescent="0.25">
      <c r="A536">
        <v>535</v>
      </c>
      <c r="B536" s="2" t="s">
        <v>534</v>
      </c>
      <c r="C536" s="1">
        <v>5459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6"/>
  <sheetViews>
    <sheetView workbookViewId="0">
      <selection activeCell="A2" sqref="A2"/>
    </sheetView>
  </sheetViews>
  <sheetFormatPr baseColWidth="10" defaultRowHeight="15" x14ac:dyDescent="0.25"/>
  <cols>
    <col min="1" max="1" width="12.140625" customWidth="1"/>
    <col min="4" max="4" width="14.7109375" customWidth="1"/>
    <col min="5" max="5" width="10.42578125" customWidth="1"/>
    <col min="6" max="6" width="21.42578125" customWidth="1"/>
    <col min="7" max="7" width="45.7109375" bestFit="1" customWidth="1"/>
  </cols>
  <sheetData>
    <row r="1" spans="1:7" s="22" customFormat="1" x14ac:dyDescent="0.25">
      <c r="A1" s="22" t="s">
        <v>1183</v>
      </c>
      <c r="B1" s="22" t="s">
        <v>1184</v>
      </c>
      <c r="C1" s="22" t="s">
        <v>1182</v>
      </c>
      <c r="D1" s="22" t="s">
        <v>1185</v>
      </c>
      <c r="E1" s="22" t="s">
        <v>1199</v>
      </c>
      <c r="F1" s="22" t="s">
        <v>1186</v>
      </c>
      <c r="G1" s="22" t="s">
        <v>1187</v>
      </c>
    </row>
    <row r="2" spans="1:7" x14ac:dyDescent="0.25">
      <c r="A2" s="8">
        <v>900901</v>
      </c>
      <c r="B2" s="6" t="s">
        <v>1206</v>
      </c>
      <c r="C2" s="5" t="s">
        <v>563</v>
      </c>
      <c r="D2" s="7">
        <v>32971</v>
      </c>
      <c r="E2" s="5">
        <v>2635874</v>
      </c>
      <c r="F2" s="5" t="s">
        <v>564</v>
      </c>
      <c r="G2" s="9" t="s">
        <v>565</v>
      </c>
    </row>
    <row r="3" spans="1:7" x14ac:dyDescent="0.25">
      <c r="A3" s="8">
        <v>900902</v>
      </c>
      <c r="B3" s="6" t="s">
        <v>566</v>
      </c>
      <c r="C3" s="5" t="s">
        <v>567</v>
      </c>
      <c r="D3" s="7">
        <v>28106</v>
      </c>
      <c r="E3" s="5">
        <v>2653149</v>
      </c>
      <c r="F3" s="5" t="s">
        <v>568</v>
      </c>
      <c r="G3" s="9" t="s">
        <v>569</v>
      </c>
    </row>
    <row r="4" spans="1:7" x14ac:dyDescent="0.25">
      <c r="A4" s="8">
        <v>900903</v>
      </c>
      <c r="B4" s="6" t="s">
        <v>570</v>
      </c>
      <c r="C4" s="5" t="s">
        <v>571</v>
      </c>
      <c r="D4" s="7">
        <v>31983</v>
      </c>
      <c r="E4" s="5">
        <v>2653327</v>
      </c>
      <c r="F4" s="5" t="s">
        <v>572</v>
      </c>
      <c r="G4" s="9" t="s">
        <v>573</v>
      </c>
    </row>
    <row r="5" spans="1:7" x14ac:dyDescent="0.25">
      <c r="A5" s="8">
        <v>900904</v>
      </c>
      <c r="B5" s="6" t="s">
        <v>574</v>
      </c>
      <c r="C5" s="5" t="s">
        <v>575</v>
      </c>
      <c r="D5" s="7">
        <v>19376</v>
      </c>
      <c r="E5" s="5">
        <v>2653389</v>
      </c>
      <c r="F5" s="5" t="s">
        <v>576</v>
      </c>
      <c r="G5" s="9" t="s">
        <v>577</v>
      </c>
    </row>
    <row r="6" spans="1:7" x14ac:dyDescent="0.25">
      <c r="A6" s="8">
        <v>900905</v>
      </c>
      <c r="B6" s="6" t="s">
        <v>578</v>
      </c>
      <c r="C6" s="5" t="s">
        <v>579</v>
      </c>
      <c r="D6" s="7">
        <v>17387</v>
      </c>
      <c r="E6" s="5">
        <v>2653992</v>
      </c>
      <c r="F6" s="5" t="s">
        <v>580</v>
      </c>
      <c r="G6" s="9" t="s">
        <v>581</v>
      </c>
    </row>
    <row r="7" spans="1:7" x14ac:dyDescent="0.25">
      <c r="A7" s="8">
        <v>900906</v>
      </c>
      <c r="B7" s="6" t="s">
        <v>582</v>
      </c>
      <c r="C7" s="5" t="s">
        <v>583</v>
      </c>
      <c r="D7" s="7">
        <v>17765</v>
      </c>
      <c r="E7" s="5">
        <v>2657196</v>
      </c>
      <c r="F7" s="5" t="s">
        <v>584</v>
      </c>
      <c r="G7" s="9" t="s">
        <v>585</v>
      </c>
    </row>
    <row r="8" spans="1:7" x14ac:dyDescent="0.25">
      <c r="A8" s="8">
        <v>900907</v>
      </c>
      <c r="B8" s="6" t="s">
        <v>586</v>
      </c>
      <c r="C8" s="5" t="s">
        <v>587</v>
      </c>
      <c r="D8" s="7">
        <v>16746</v>
      </c>
      <c r="E8" s="5">
        <v>2658459</v>
      </c>
      <c r="F8" s="5" t="s">
        <v>588</v>
      </c>
      <c r="G8" s="9" t="s">
        <v>589</v>
      </c>
    </row>
    <row r="9" spans="1:7" x14ac:dyDescent="0.25">
      <c r="A9" s="8">
        <v>900908</v>
      </c>
      <c r="B9" s="6" t="s">
        <v>590</v>
      </c>
      <c r="C9" s="5" t="s">
        <v>591</v>
      </c>
      <c r="D9" s="7">
        <v>16682</v>
      </c>
      <c r="E9" s="5">
        <v>2659854</v>
      </c>
      <c r="F9" s="5" t="s">
        <v>592</v>
      </c>
      <c r="G9" s="9" t="s">
        <v>593</v>
      </c>
    </row>
    <row r="10" spans="1:7" x14ac:dyDescent="0.25">
      <c r="A10" s="8">
        <v>900909</v>
      </c>
      <c r="B10" s="6" t="s">
        <v>594</v>
      </c>
      <c r="C10" s="5" t="s">
        <v>595</v>
      </c>
      <c r="D10" s="7">
        <v>19969</v>
      </c>
      <c r="E10" s="5">
        <v>2660898</v>
      </c>
      <c r="F10" s="5" t="s">
        <v>596</v>
      </c>
      <c r="G10" s="9" t="s">
        <v>597</v>
      </c>
    </row>
    <row r="11" spans="1:7" x14ac:dyDescent="0.25">
      <c r="A11" s="8">
        <v>900910</v>
      </c>
      <c r="B11" s="6" t="s">
        <v>598</v>
      </c>
      <c r="C11" s="5" t="s">
        <v>599</v>
      </c>
      <c r="D11" s="7">
        <v>23923</v>
      </c>
      <c r="E11" s="5">
        <v>2664478</v>
      </c>
      <c r="F11" s="5" t="s">
        <v>600</v>
      </c>
      <c r="G11" s="9" t="s">
        <v>601</v>
      </c>
    </row>
    <row r="12" spans="1:7" x14ac:dyDescent="0.25">
      <c r="A12" s="8">
        <v>900911</v>
      </c>
      <c r="B12" s="6" t="s">
        <v>602</v>
      </c>
      <c r="C12" s="5" t="s">
        <v>603</v>
      </c>
      <c r="D12" s="7">
        <v>28265</v>
      </c>
      <c r="E12" s="5">
        <v>2664858</v>
      </c>
      <c r="F12" s="5" t="s">
        <v>604</v>
      </c>
      <c r="G12" s="9" t="s">
        <v>605</v>
      </c>
    </row>
    <row r="13" spans="1:7" x14ac:dyDescent="0.25">
      <c r="A13" s="8">
        <v>900912</v>
      </c>
      <c r="B13" s="6" t="s">
        <v>606</v>
      </c>
      <c r="C13" s="5" t="s">
        <v>607</v>
      </c>
      <c r="D13" s="7">
        <v>20950</v>
      </c>
      <c r="E13" s="5">
        <v>2666419</v>
      </c>
      <c r="F13" s="5" t="s">
        <v>608</v>
      </c>
      <c r="G13" s="9" t="s">
        <v>609</v>
      </c>
    </row>
    <row r="14" spans="1:7" x14ac:dyDescent="0.25">
      <c r="A14" s="8">
        <v>900913</v>
      </c>
      <c r="B14" s="6" t="s">
        <v>610</v>
      </c>
      <c r="C14" s="5" t="s">
        <v>611</v>
      </c>
      <c r="D14" s="7">
        <v>26284</v>
      </c>
      <c r="E14" s="5">
        <v>2666606</v>
      </c>
      <c r="F14" s="5" t="s">
        <v>612</v>
      </c>
      <c r="G14" s="9" t="s">
        <v>613</v>
      </c>
    </row>
    <row r="15" spans="1:7" x14ac:dyDescent="0.25">
      <c r="A15" s="8">
        <v>900914</v>
      </c>
      <c r="B15" s="6" t="s">
        <v>614</v>
      </c>
      <c r="C15" s="5" t="s">
        <v>615</v>
      </c>
      <c r="D15" s="7">
        <v>21485</v>
      </c>
      <c r="E15" s="5">
        <v>2669641</v>
      </c>
      <c r="F15" s="5" t="s">
        <v>616</v>
      </c>
      <c r="G15" s="9" t="s">
        <v>617</v>
      </c>
    </row>
    <row r="16" spans="1:7" x14ac:dyDescent="0.25">
      <c r="A16" s="8">
        <v>900915</v>
      </c>
      <c r="B16" s="6" t="s">
        <v>618</v>
      </c>
      <c r="C16" s="5" t="s">
        <v>619</v>
      </c>
      <c r="D16" s="7">
        <v>22058</v>
      </c>
      <c r="E16" s="5">
        <v>2670757</v>
      </c>
      <c r="F16" s="5" t="s">
        <v>620</v>
      </c>
      <c r="G16" s="9" t="s">
        <v>621</v>
      </c>
    </row>
    <row r="17" spans="1:7" x14ac:dyDescent="0.25">
      <c r="A17" s="8">
        <v>900916</v>
      </c>
      <c r="B17" s="6" t="s">
        <v>622</v>
      </c>
      <c r="C17" s="5" t="s">
        <v>623</v>
      </c>
      <c r="D17" s="7">
        <v>22844</v>
      </c>
      <c r="E17" s="5">
        <v>2670808</v>
      </c>
      <c r="F17" s="5" t="s">
        <v>624</v>
      </c>
      <c r="G17" s="9" t="s">
        <v>625</v>
      </c>
    </row>
    <row r="18" spans="1:7" x14ac:dyDescent="0.25">
      <c r="A18" s="8">
        <v>900917</v>
      </c>
      <c r="B18" s="6" t="s">
        <v>626</v>
      </c>
      <c r="C18" s="5" t="s">
        <v>627</v>
      </c>
      <c r="D18" s="7">
        <v>16694</v>
      </c>
      <c r="E18" s="5">
        <v>2673099</v>
      </c>
      <c r="F18" s="5" t="s">
        <v>628</v>
      </c>
      <c r="G18" s="9" t="s">
        <v>629</v>
      </c>
    </row>
    <row r="19" spans="1:7" x14ac:dyDescent="0.25">
      <c r="A19" s="8">
        <v>900918</v>
      </c>
      <c r="B19" s="6" t="s">
        <v>630</v>
      </c>
      <c r="C19" s="5" t="s">
        <v>631</v>
      </c>
      <c r="D19" s="7">
        <v>18749</v>
      </c>
      <c r="E19" s="5">
        <v>2675228</v>
      </c>
      <c r="F19" s="5" t="s">
        <v>632</v>
      </c>
      <c r="G19" s="9" t="s">
        <v>633</v>
      </c>
    </row>
    <row r="20" spans="1:7" x14ac:dyDescent="0.25">
      <c r="A20" s="8">
        <v>900919</v>
      </c>
      <c r="B20" s="6" t="s">
        <v>634</v>
      </c>
      <c r="C20" s="5" t="s">
        <v>635</v>
      </c>
      <c r="D20" s="7">
        <v>18809</v>
      </c>
      <c r="E20" s="5">
        <v>2681452</v>
      </c>
      <c r="F20" s="5" t="s">
        <v>636</v>
      </c>
      <c r="G20" s="9" t="s">
        <v>637</v>
      </c>
    </row>
    <row r="21" spans="1:7" x14ac:dyDescent="0.25">
      <c r="A21" s="8">
        <v>900920</v>
      </c>
      <c r="B21" s="6" t="s">
        <v>638</v>
      </c>
      <c r="C21" s="5" t="s">
        <v>639</v>
      </c>
      <c r="D21" s="7">
        <v>20072</v>
      </c>
      <c r="E21" s="5">
        <v>2682067</v>
      </c>
      <c r="F21" s="5" t="s">
        <v>640</v>
      </c>
      <c r="G21" s="9" t="s">
        <v>641</v>
      </c>
    </row>
    <row r="22" spans="1:7" x14ac:dyDescent="0.25">
      <c r="A22" s="8">
        <v>900921</v>
      </c>
      <c r="B22" s="6" t="s">
        <v>642</v>
      </c>
      <c r="C22" s="5" t="s">
        <v>643</v>
      </c>
      <c r="D22" s="7">
        <v>28074</v>
      </c>
      <c r="E22" s="5">
        <v>2682353</v>
      </c>
      <c r="F22" s="5" t="s">
        <v>644</v>
      </c>
      <c r="G22" s="9" t="s">
        <v>645</v>
      </c>
    </row>
    <row r="23" spans="1:7" x14ac:dyDescent="0.25">
      <c r="A23" s="8">
        <v>900922</v>
      </c>
      <c r="B23" s="6" t="s">
        <v>646</v>
      </c>
      <c r="C23" s="5" t="s">
        <v>647</v>
      </c>
      <c r="D23" s="7">
        <v>28538</v>
      </c>
      <c r="E23" s="5">
        <v>2683543</v>
      </c>
      <c r="F23" s="5" t="s">
        <v>648</v>
      </c>
      <c r="G23" s="9" t="s">
        <v>649</v>
      </c>
    </row>
    <row r="24" spans="1:7" x14ac:dyDescent="0.25">
      <c r="A24" s="8">
        <v>900923</v>
      </c>
      <c r="B24" s="6" t="s">
        <v>650</v>
      </c>
      <c r="C24" s="5" t="s">
        <v>651</v>
      </c>
      <c r="D24" s="7">
        <v>32456</v>
      </c>
      <c r="E24" s="5">
        <v>2683748</v>
      </c>
      <c r="F24" s="5" t="s">
        <v>652</v>
      </c>
      <c r="G24" s="9" t="s">
        <v>653</v>
      </c>
    </row>
    <row r="25" spans="1:7" x14ac:dyDescent="0.25">
      <c r="A25" s="8">
        <v>900924</v>
      </c>
      <c r="B25" s="6" t="s">
        <v>654</v>
      </c>
      <c r="C25" s="5" t="s">
        <v>655</v>
      </c>
      <c r="D25" s="7">
        <v>31851</v>
      </c>
      <c r="E25" s="5">
        <v>2685953</v>
      </c>
      <c r="F25" s="5" t="s">
        <v>656</v>
      </c>
      <c r="G25" s="9" t="s">
        <v>657</v>
      </c>
    </row>
    <row r="26" spans="1:7" x14ac:dyDescent="0.25">
      <c r="A26" s="8">
        <v>900925</v>
      </c>
      <c r="B26" s="6" t="s">
        <v>658</v>
      </c>
      <c r="C26" s="5" t="s">
        <v>659</v>
      </c>
      <c r="D26" s="7">
        <v>28338</v>
      </c>
      <c r="E26" s="5">
        <v>2686061</v>
      </c>
      <c r="F26" s="5" t="s">
        <v>660</v>
      </c>
      <c r="G26" s="9" t="s">
        <v>661</v>
      </c>
    </row>
    <row r="27" spans="1:7" x14ac:dyDescent="0.25">
      <c r="A27" s="8">
        <v>900926</v>
      </c>
      <c r="B27" s="6" t="s">
        <v>662</v>
      </c>
      <c r="C27" s="5" t="s">
        <v>663</v>
      </c>
      <c r="D27" s="7">
        <v>22228</v>
      </c>
      <c r="E27" s="5">
        <v>2686804</v>
      </c>
      <c r="F27" s="5" t="s">
        <v>664</v>
      </c>
      <c r="G27" s="9" t="s">
        <v>665</v>
      </c>
    </row>
    <row r="28" spans="1:7" x14ac:dyDescent="0.25">
      <c r="A28" s="8">
        <v>900927</v>
      </c>
      <c r="B28" s="6" t="s">
        <v>666</v>
      </c>
      <c r="C28" s="5" t="s">
        <v>667</v>
      </c>
      <c r="D28" s="7">
        <v>31063</v>
      </c>
      <c r="E28" s="5">
        <v>2694761</v>
      </c>
      <c r="F28" s="5" t="s">
        <v>668</v>
      </c>
      <c r="G28" s="9" t="s">
        <v>669</v>
      </c>
    </row>
    <row r="29" spans="1:7" x14ac:dyDescent="0.25">
      <c r="A29" s="8">
        <v>900928</v>
      </c>
      <c r="B29" s="6" t="s">
        <v>670</v>
      </c>
      <c r="C29" s="5" t="s">
        <v>671</v>
      </c>
      <c r="D29" s="7">
        <v>20060</v>
      </c>
      <c r="E29" s="5">
        <v>2695195</v>
      </c>
      <c r="F29" s="5" t="s">
        <v>672</v>
      </c>
      <c r="G29" s="9" t="s">
        <v>673</v>
      </c>
    </row>
    <row r="30" spans="1:7" x14ac:dyDescent="0.25">
      <c r="A30" s="8">
        <v>900929</v>
      </c>
      <c r="B30" s="6" t="s">
        <v>674</v>
      </c>
      <c r="C30" s="5" t="s">
        <v>675</v>
      </c>
      <c r="D30" s="7">
        <v>27793</v>
      </c>
      <c r="E30" s="5">
        <v>2697291</v>
      </c>
      <c r="F30" s="5" t="s">
        <v>676</v>
      </c>
      <c r="G30" s="9" t="s">
        <v>677</v>
      </c>
    </row>
    <row r="31" spans="1:7" x14ac:dyDescent="0.25">
      <c r="A31" s="8">
        <v>900930</v>
      </c>
      <c r="B31" s="6" t="s">
        <v>678</v>
      </c>
      <c r="C31" s="5" t="s">
        <v>679</v>
      </c>
      <c r="D31" s="7">
        <v>32095</v>
      </c>
      <c r="E31" s="5">
        <v>2698547</v>
      </c>
      <c r="F31" s="5" t="s">
        <v>680</v>
      </c>
      <c r="G31" s="9" t="s">
        <v>681</v>
      </c>
    </row>
    <row r="32" spans="1:7" x14ac:dyDescent="0.25">
      <c r="A32" s="8">
        <v>900931</v>
      </c>
      <c r="B32" s="6" t="s">
        <v>682</v>
      </c>
      <c r="C32" s="5" t="s">
        <v>683</v>
      </c>
      <c r="D32" s="7">
        <v>17024</v>
      </c>
      <c r="E32" s="5">
        <v>2700739</v>
      </c>
      <c r="F32" s="5" t="s">
        <v>684</v>
      </c>
      <c r="G32" s="9" t="s">
        <v>685</v>
      </c>
    </row>
    <row r="33" spans="1:7" x14ac:dyDescent="0.25">
      <c r="A33" s="8">
        <v>900932</v>
      </c>
      <c r="B33" s="6" t="s">
        <v>686</v>
      </c>
      <c r="C33" s="5" t="s">
        <v>687</v>
      </c>
      <c r="D33" s="7">
        <v>25205</v>
      </c>
      <c r="E33" s="5">
        <v>2704559</v>
      </c>
      <c r="F33" s="5" t="s">
        <v>688</v>
      </c>
      <c r="G33" s="9" t="s">
        <v>689</v>
      </c>
    </row>
    <row r="34" spans="1:7" x14ac:dyDescent="0.25">
      <c r="A34" s="8">
        <v>900933</v>
      </c>
      <c r="B34" s="6" t="s">
        <v>690</v>
      </c>
      <c r="C34" s="5" t="s">
        <v>691</v>
      </c>
      <c r="D34" s="7">
        <v>32208</v>
      </c>
      <c r="E34" s="5">
        <v>2706527</v>
      </c>
      <c r="F34" s="5" t="s">
        <v>692</v>
      </c>
      <c r="G34" s="9" t="s">
        <v>693</v>
      </c>
    </row>
    <row r="35" spans="1:7" x14ac:dyDescent="0.25">
      <c r="A35" s="8">
        <v>900934</v>
      </c>
      <c r="B35" s="6" t="s">
        <v>694</v>
      </c>
      <c r="C35" s="5" t="s">
        <v>695</v>
      </c>
      <c r="D35" s="7">
        <v>25550</v>
      </c>
      <c r="E35" s="5">
        <v>2710088</v>
      </c>
      <c r="F35" s="5" t="s">
        <v>696</v>
      </c>
      <c r="G35" s="9" t="s">
        <v>697</v>
      </c>
    </row>
    <row r="36" spans="1:7" x14ac:dyDescent="0.25">
      <c r="A36" s="8">
        <v>900935</v>
      </c>
      <c r="B36" s="6" t="s">
        <v>698</v>
      </c>
      <c r="C36" s="5" t="s">
        <v>699</v>
      </c>
      <c r="D36" s="7">
        <v>22217</v>
      </c>
      <c r="E36" s="5">
        <v>2715491</v>
      </c>
      <c r="F36" s="5" t="s">
        <v>700</v>
      </c>
      <c r="G36" s="9" t="s">
        <v>701</v>
      </c>
    </row>
    <row r="37" spans="1:7" x14ac:dyDescent="0.25">
      <c r="A37" s="8">
        <v>900936</v>
      </c>
      <c r="B37" s="6" t="s">
        <v>702</v>
      </c>
      <c r="C37" s="5" t="s">
        <v>703</v>
      </c>
      <c r="D37" s="7">
        <v>21782</v>
      </c>
      <c r="E37" s="5">
        <v>2715848</v>
      </c>
      <c r="F37" s="5" t="s">
        <v>704</v>
      </c>
      <c r="G37" s="9" t="s">
        <v>705</v>
      </c>
    </row>
    <row r="38" spans="1:7" x14ac:dyDescent="0.25">
      <c r="A38" s="8">
        <v>900937</v>
      </c>
      <c r="B38" s="6" t="s">
        <v>706</v>
      </c>
      <c r="C38" s="5" t="s">
        <v>707</v>
      </c>
      <c r="D38" s="7">
        <v>18191</v>
      </c>
      <c r="E38" s="5">
        <v>2717240</v>
      </c>
      <c r="F38" s="5" t="s">
        <v>708</v>
      </c>
      <c r="G38" s="9" t="s">
        <v>709</v>
      </c>
    </row>
    <row r="39" spans="1:7" x14ac:dyDescent="0.25">
      <c r="A39" s="8">
        <v>900938</v>
      </c>
      <c r="B39" s="6" t="s">
        <v>710</v>
      </c>
      <c r="C39" s="5" t="s">
        <v>711</v>
      </c>
      <c r="D39" s="7">
        <v>26135</v>
      </c>
      <c r="E39" s="5">
        <v>2717591</v>
      </c>
      <c r="F39" s="5" t="s">
        <v>712</v>
      </c>
      <c r="G39" s="9" t="s">
        <v>713</v>
      </c>
    </row>
    <row r="40" spans="1:7" x14ac:dyDescent="0.25">
      <c r="A40" s="8">
        <v>900939</v>
      </c>
      <c r="B40" s="6" t="s">
        <v>714</v>
      </c>
      <c r="C40" s="5" t="s">
        <v>715</v>
      </c>
      <c r="D40" s="7">
        <v>21650</v>
      </c>
      <c r="E40" s="5">
        <v>2720376</v>
      </c>
      <c r="F40" s="5" t="s">
        <v>716</v>
      </c>
      <c r="G40" s="9" t="s">
        <v>717</v>
      </c>
    </row>
    <row r="41" spans="1:7" x14ac:dyDescent="0.25">
      <c r="A41" s="8">
        <v>900940</v>
      </c>
      <c r="B41" s="6" t="s">
        <v>718</v>
      </c>
      <c r="C41" s="5" t="s">
        <v>719</v>
      </c>
      <c r="D41" s="7">
        <v>31598</v>
      </c>
      <c r="E41" s="5">
        <v>2720391</v>
      </c>
      <c r="F41" s="5" t="s">
        <v>720</v>
      </c>
      <c r="G41" s="9" t="s">
        <v>721</v>
      </c>
    </row>
    <row r="42" spans="1:7" x14ac:dyDescent="0.25">
      <c r="A42" s="8">
        <v>900941</v>
      </c>
      <c r="B42" s="6" t="s">
        <v>722</v>
      </c>
      <c r="C42" s="5" t="s">
        <v>723</v>
      </c>
      <c r="D42" s="7">
        <v>29552</v>
      </c>
      <c r="E42" s="5">
        <v>2720586</v>
      </c>
      <c r="F42" s="5" t="s">
        <v>724</v>
      </c>
      <c r="G42" s="9" t="s">
        <v>725</v>
      </c>
    </row>
    <row r="43" spans="1:7" x14ac:dyDescent="0.25">
      <c r="A43" s="8">
        <v>900942</v>
      </c>
      <c r="B43" s="6" t="s">
        <v>726</v>
      </c>
      <c r="C43" s="5" t="s">
        <v>727</v>
      </c>
      <c r="D43" s="7">
        <v>32705</v>
      </c>
      <c r="E43" s="5">
        <v>2721579</v>
      </c>
      <c r="F43" s="5" t="s">
        <v>728</v>
      </c>
      <c r="G43" s="9" t="s">
        <v>729</v>
      </c>
    </row>
    <row r="44" spans="1:7" x14ac:dyDescent="0.25">
      <c r="A44" s="8">
        <v>900943</v>
      </c>
      <c r="B44" s="6" t="s">
        <v>730</v>
      </c>
      <c r="C44" s="5" t="s">
        <v>731</v>
      </c>
      <c r="D44" s="7">
        <v>21200</v>
      </c>
      <c r="E44" s="5">
        <v>2723856</v>
      </c>
      <c r="F44" s="5" t="s">
        <v>732</v>
      </c>
      <c r="G44" s="9" t="s">
        <v>733</v>
      </c>
    </row>
    <row r="45" spans="1:7" x14ac:dyDescent="0.25">
      <c r="A45" s="8">
        <v>900944</v>
      </c>
      <c r="B45" s="6" t="s">
        <v>734</v>
      </c>
      <c r="C45" s="5" t="s">
        <v>735</v>
      </c>
      <c r="D45" s="7">
        <v>18907</v>
      </c>
      <c r="E45" s="5">
        <v>2725331</v>
      </c>
      <c r="F45" s="5" t="s">
        <v>736</v>
      </c>
      <c r="G45" s="9" t="s">
        <v>737</v>
      </c>
    </row>
    <row r="46" spans="1:7" x14ac:dyDescent="0.25">
      <c r="A46" s="8">
        <v>900945</v>
      </c>
      <c r="B46" s="6" t="s">
        <v>738</v>
      </c>
      <c r="C46" s="5" t="s">
        <v>739</v>
      </c>
      <c r="D46" s="7">
        <v>20573</v>
      </c>
      <c r="E46" s="5">
        <v>2727435</v>
      </c>
      <c r="F46" s="5" t="s">
        <v>740</v>
      </c>
      <c r="G46" s="9" t="s">
        <v>741</v>
      </c>
    </row>
    <row r="47" spans="1:7" x14ac:dyDescent="0.25">
      <c r="A47" s="8">
        <v>900946</v>
      </c>
      <c r="B47" s="6" t="s">
        <v>742</v>
      </c>
      <c r="C47" s="5" t="s">
        <v>743</v>
      </c>
      <c r="D47" s="7">
        <v>18736</v>
      </c>
      <c r="E47" s="5">
        <v>2727728</v>
      </c>
      <c r="F47" s="5" t="s">
        <v>744</v>
      </c>
      <c r="G47" s="9" t="s">
        <v>745</v>
      </c>
    </row>
    <row r="48" spans="1:7" x14ac:dyDescent="0.25">
      <c r="A48" s="8">
        <v>900947</v>
      </c>
      <c r="B48" s="6" t="s">
        <v>746</v>
      </c>
      <c r="C48" s="5" t="s">
        <v>747</v>
      </c>
      <c r="D48" s="7">
        <v>32108</v>
      </c>
      <c r="E48" s="5">
        <v>2728810</v>
      </c>
      <c r="F48" s="5" t="s">
        <v>748</v>
      </c>
      <c r="G48" s="9" t="s">
        <v>749</v>
      </c>
    </row>
    <row r="49" spans="1:7" x14ac:dyDescent="0.25">
      <c r="A49" s="8">
        <v>900948</v>
      </c>
      <c r="B49" s="6" t="s">
        <v>750</v>
      </c>
      <c r="C49" s="5" t="s">
        <v>751</v>
      </c>
      <c r="D49" s="7">
        <v>21178</v>
      </c>
      <c r="E49" s="5">
        <v>2730417</v>
      </c>
      <c r="F49" s="5" t="s">
        <v>752</v>
      </c>
      <c r="G49" s="9" t="s">
        <v>753</v>
      </c>
    </row>
    <row r="50" spans="1:7" x14ac:dyDescent="0.25">
      <c r="A50" s="8">
        <v>900949</v>
      </c>
      <c r="B50" s="6" t="s">
        <v>754</v>
      </c>
      <c r="C50" s="5" t="s">
        <v>755</v>
      </c>
      <c r="D50" s="7">
        <v>17164</v>
      </c>
      <c r="E50" s="5">
        <v>2730893</v>
      </c>
      <c r="F50" s="5" t="s">
        <v>756</v>
      </c>
      <c r="G50" s="9" t="s">
        <v>757</v>
      </c>
    </row>
    <row r="51" spans="1:7" x14ac:dyDescent="0.25">
      <c r="A51" s="8">
        <v>900950</v>
      </c>
      <c r="B51" s="6" t="s">
        <v>758</v>
      </c>
      <c r="C51" s="5" t="s">
        <v>759</v>
      </c>
      <c r="D51" s="7">
        <v>25839</v>
      </c>
      <c r="E51" s="5">
        <v>2734887</v>
      </c>
      <c r="F51" s="5" t="s">
        <v>760</v>
      </c>
      <c r="G51" s="9" t="s">
        <v>761</v>
      </c>
    </row>
    <row r="52" spans="1:7" x14ac:dyDescent="0.25">
      <c r="A52" s="8">
        <v>900951</v>
      </c>
      <c r="B52" s="6" t="s">
        <v>762</v>
      </c>
      <c r="C52" s="5" t="s">
        <v>763</v>
      </c>
      <c r="D52" s="7">
        <v>29635</v>
      </c>
      <c r="E52" s="5">
        <v>2735162</v>
      </c>
      <c r="F52" s="5" t="s">
        <v>764</v>
      </c>
      <c r="G52" s="9" t="s">
        <v>765</v>
      </c>
    </row>
    <row r="53" spans="1:7" x14ac:dyDescent="0.25">
      <c r="A53" s="8">
        <v>900952</v>
      </c>
      <c r="B53" s="6" t="s">
        <v>766</v>
      </c>
      <c r="C53" s="5" t="s">
        <v>767</v>
      </c>
      <c r="D53" s="7">
        <v>26397</v>
      </c>
      <c r="E53" s="5">
        <v>2736074</v>
      </c>
      <c r="F53" s="5" t="s">
        <v>768</v>
      </c>
      <c r="G53" s="9" t="s">
        <v>769</v>
      </c>
    </row>
    <row r="54" spans="1:7" x14ac:dyDescent="0.25">
      <c r="A54" s="8">
        <v>900953</v>
      </c>
      <c r="B54" s="6" t="s">
        <v>770</v>
      </c>
      <c r="C54" s="5" t="s">
        <v>771</v>
      </c>
      <c r="D54" s="7">
        <v>27147</v>
      </c>
      <c r="E54" s="5">
        <v>2741556</v>
      </c>
      <c r="F54" s="5" t="s">
        <v>772</v>
      </c>
      <c r="G54" s="9" t="s">
        <v>773</v>
      </c>
    </row>
    <row r="55" spans="1:7" x14ac:dyDescent="0.25">
      <c r="A55" s="8">
        <v>900954</v>
      </c>
      <c r="B55" s="6" t="s">
        <v>774</v>
      </c>
      <c r="C55" s="5" t="s">
        <v>775</v>
      </c>
      <c r="D55" s="7">
        <v>28735</v>
      </c>
      <c r="E55" s="5">
        <v>2745926</v>
      </c>
      <c r="F55" s="5" t="s">
        <v>776</v>
      </c>
      <c r="G55" s="9" t="s">
        <v>777</v>
      </c>
    </row>
    <row r="56" spans="1:7" x14ac:dyDescent="0.25">
      <c r="A56" s="8">
        <v>900955</v>
      </c>
      <c r="B56" s="6" t="s">
        <v>778</v>
      </c>
      <c r="C56" s="5" t="s">
        <v>779</v>
      </c>
      <c r="D56" s="7">
        <v>19043</v>
      </c>
      <c r="E56" s="5">
        <v>2745929</v>
      </c>
      <c r="F56" s="5" t="s">
        <v>780</v>
      </c>
      <c r="G56" s="9" t="s">
        <v>781</v>
      </c>
    </row>
    <row r="57" spans="1:7" x14ac:dyDescent="0.25">
      <c r="A57" s="8">
        <v>900956</v>
      </c>
      <c r="B57" s="6" t="s">
        <v>782</v>
      </c>
      <c r="C57" s="5" t="s">
        <v>783</v>
      </c>
      <c r="D57" s="7">
        <v>19906</v>
      </c>
      <c r="E57" s="5">
        <v>2745958</v>
      </c>
      <c r="F57" s="5" t="s">
        <v>784</v>
      </c>
      <c r="G57" s="9" t="s">
        <v>785</v>
      </c>
    </row>
    <row r="58" spans="1:7" x14ac:dyDescent="0.25">
      <c r="A58" s="8">
        <v>900957</v>
      </c>
      <c r="B58" s="6" t="s">
        <v>786</v>
      </c>
      <c r="C58" s="5" t="s">
        <v>787</v>
      </c>
      <c r="D58" s="7">
        <v>32926</v>
      </c>
      <c r="E58" s="5">
        <v>2749325</v>
      </c>
      <c r="F58" s="5" t="s">
        <v>788</v>
      </c>
      <c r="G58" s="9" t="s">
        <v>789</v>
      </c>
    </row>
    <row r="59" spans="1:7" x14ac:dyDescent="0.25">
      <c r="A59" s="8">
        <v>900958</v>
      </c>
      <c r="B59" s="6" t="s">
        <v>790</v>
      </c>
      <c r="C59" s="5" t="s">
        <v>791</v>
      </c>
      <c r="D59" s="7">
        <v>31278</v>
      </c>
      <c r="E59" s="5">
        <v>2749606</v>
      </c>
      <c r="F59" s="5" t="s">
        <v>792</v>
      </c>
      <c r="G59" s="9" t="s">
        <v>793</v>
      </c>
    </row>
    <row r="60" spans="1:7" x14ac:dyDescent="0.25">
      <c r="A60" s="8">
        <v>900959</v>
      </c>
      <c r="B60" s="6" t="s">
        <v>794</v>
      </c>
      <c r="C60" s="5" t="s">
        <v>795</v>
      </c>
      <c r="D60" s="7">
        <v>28678</v>
      </c>
      <c r="E60" s="5">
        <v>2750212</v>
      </c>
      <c r="F60" s="5" t="s">
        <v>796</v>
      </c>
      <c r="G60" s="9" t="s">
        <v>797</v>
      </c>
    </row>
    <row r="61" spans="1:7" x14ac:dyDescent="0.25">
      <c r="A61" s="8">
        <v>900960</v>
      </c>
      <c r="B61" s="6" t="s">
        <v>798</v>
      </c>
      <c r="C61" s="5" t="s">
        <v>799</v>
      </c>
      <c r="D61" s="7">
        <v>27630</v>
      </c>
      <c r="E61" s="5">
        <v>2753039</v>
      </c>
      <c r="F61" s="5" t="s">
        <v>800</v>
      </c>
      <c r="G61" s="9" t="s">
        <v>801</v>
      </c>
    </row>
    <row r="62" spans="1:7" x14ac:dyDescent="0.25">
      <c r="A62" s="8">
        <v>900961</v>
      </c>
      <c r="B62" s="6" t="s">
        <v>802</v>
      </c>
      <c r="C62" s="5" t="s">
        <v>803</v>
      </c>
      <c r="D62" s="7">
        <v>32725</v>
      </c>
      <c r="E62" s="5">
        <v>2757324</v>
      </c>
      <c r="F62" s="5" t="s">
        <v>804</v>
      </c>
      <c r="G62" s="9" t="s">
        <v>805</v>
      </c>
    </row>
    <row r="63" spans="1:7" x14ac:dyDescent="0.25">
      <c r="A63" s="8">
        <v>900962</v>
      </c>
      <c r="B63" s="6" t="s">
        <v>806</v>
      </c>
      <c r="C63" s="5" t="s">
        <v>807</v>
      </c>
      <c r="D63" s="7">
        <v>17172</v>
      </c>
      <c r="E63" s="5">
        <v>2758735</v>
      </c>
      <c r="F63" s="5" t="s">
        <v>808</v>
      </c>
      <c r="G63" s="9" t="s">
        <v>809</v>
      </c>
    </row>
    <row r="64" spans="1:7" x14ac:dyDescent="0.25">
      <c r="A64" s="8">
        <v>900963</v>
      </c>
      <c r="B64" s="6" t="s">
        <v>810</v>
      </c>
      <c r="C64" s="5" t="s">
        <v>811</v>
      </c>
      <c r="D64" s="7">
        <v>30345</v>
      </c>
      <c r="E64" s="5">
        <v>2760294</v>
      </c>
      <c r="F64" s="5" t="s">
        <v>812</v>
      </c>
      <c r="G64" s="9" t="s">
        <v>813</v>
      </c>
    </row>
    <row r="65" spans="1:7" x14ac:dyDescent="0.25">
      <c r="A65" s="8">
        <v>900964</v>
      </c>
      <c r="B65" s="6" t="s">
        <v>814</v>
      </c>
      <c r="C65" s="5" t="s">
        <v>815</v>
      </c>
      <c r="D65" s="7">
        <v>22442</v>
      </c>
      <c r="E65" s="5">
        <v>2760563</v>
      </c>
      <c r="F65" s="5" t="s">
        <v>816</v>
      </c>
      <c r="G65" s="9" t="s">
        <v>817</v>
      </c>
    </row>
    <row r="66" spans="1:7" x14ac:dyDescent="0.25">
      <c r="A66" s="8">
        <v>900965</v>
      </c>
      <c r="B66" s="6" t="s">
        <v>818</v>
      </c>
      <c r="C66" s="5" t="s">
        <v>819</v>
      </c>
      <c r="D66" s="7">
        <v>28793</v>
      </c>
      <c r="E66" s="5">
        <v>2762140</v>
      </c>
      <c r="F66" s="5" t="s">
        <v>820</v>
      </c>
      <c r="G66" s="9" t="s">
        <v>821</v>
      </c>
    </row>
    <row r="67" spans="1:7" x14ac:dyDescent="0.25">
      <c r="A67" s="8">
        <v>900966</v>
      </c>
      <c r="B67" s="6" t="s">
        <v>822</v>
      </c>
      <c r="C67" s="5" t="s">
        <v>823</v>
      </c>
      <c r="D67" s="7">
        <v>23179</v>
      </c>
      <c r="E67" s="5">
        <v>2762646</v>
      </c>
      <c r="F67" s="5" t="s">
        <v>824</v>
      </c>
      <c r="G67" s="9" t="s">
        <v>825</v>
      </c>
    </row>
    <row r="68" spans="1:7" x14ac:dyDescent="0.25">
      <c r="A68" s="8">
        <v>900967</v>
      </c>
      <c r="B68" s="6" t="s">
        <v>826</v>
      </c>
      <c r="C68" s="5" t="s">
        <v>827</v>
      </c>
      <c r="D68" s="7">
        <v>21770</v>
      </c>
      <c r="E68" s="5">
        <v>2767516</v>
      </c>
      <c r="F68" s="5" t="s">
        <v>828</v>
      </c>
      <c r="G68" s="9" t="s">
        <v>829</v>
      </c>
    </row>
    <row r="69" spans="1:7" x14ac:dyDescent="0.25">
      <c r="A69" s="8">
        <v>900968</v>
      </c>
      <c r="B69" s="6" t="s">
        <v>830</v>
      </c>
      <c r="C69" s="5" t="s">
        <v>831</v>
      </c>
      <c r="D69" s="7">
        <v>25518</v>
      </c>
      <c r="E69" s="5">
        <v>2767889</v>
      </c>
      <c r="F69" s="5" t="s">
        <v>832</v>
      </c>
      <c r="G69" s="9" t="s">
        <v>833</v>
      </c>
    </row>
    <row r="70" spans="1:7" x14ac:dyDescent="0.25">
      <c r="A70" s="8">
        <v>900969</v>
      </c>
      <c r="B70" s="6" t="s">
        <v>834</v>
      </c>
      <c r="C70" s="5" t="s">
        <v>835</v>
      </c>
      <c r="D70" s="7">
        <v>26226</v>
      </c>
      <c r="E70" s="5">
        <v>2768250</v>
      </c>
      <c r="F70" s="5" t="s">
        <v>836</v>
      </c>
      <c r="G70" s="9" t="s">
        <v>837</v>
      </c>
    </row>
    <row r="71" spans="1:7" x14ac:dyDescent="0.25">
      <c r="A71" s="8">
        <v>900970</v>
      </c>
      <c r="B71" s="6" t="s">
        <v>838</v>
      </c>
      <c r="C71" s="5" t="s">
        <v>839</v>
      </c>
      <c r="D71" s="7">
        <v>21156</v>
      </c>
      <c r="E71" s="5">
        <v>2775163</v>
      </c>
      <c r="F71" s="5" t="s">
        <v>840</v>
      </c>
      <c r="G71" s="9" t="s">
        <v>841</v>
      </c>
    </row>
    <row r="72" spans="1:7" x14ac:dyDescent="0.25">
      <c r="A72" s="8">
        <v>900971</v>
      </c>
      <c r="B72" s="6" t="s">
        <v>842</v>
      </c>
      <c r="C72" s="5" t="s">
        <v>843</v>
      </c>
      <c r="D72" s="7">
        <v>24374</v>
      </c>
      <c r="E72" s="5">
        <v>2775281</v>
      </c>
      <c r="F72" s="5" t="s">
        <v>844</v>
      </c>
      <c r="G72" s="9" t="s">
        <v>845</v>
      </c>
    </row>
    <row r="73" spans="1:7" x14ac:dyDescent="0.25">
      <c r="A73" s="8">
        <v>900972</v>
      </c>
      <c r="B73" s="6" t="s">
        <v>846</v>
      </c>
      <c r="C73" s="5" t="s">
        <v>847</v>
      </c>
      <c r="D73" s="7">
        <v>17850</v>
      </c>
      <c r="E73" s="5">
        <v>2778045</v>
      </c>
      <c r="F73" s="5" t="s">
        <v>848</v>
      </c>
      <c r="G73" s="9" t="s">
        <v>849</v>
      </c>
    </row>
    <row r="74" spans="1:7" x14ac:dyDescent="0.25">
      <c r="A74" s="8">
        <v>900973</v>
      </c>
      <c r="B74" s="6" t="s">
        <v>850</v>
      </c>
      <c r="C74" s="5" t="s">
        <v>851</v>
      </c>
      <c r="D74" s="7">
        <v>29141</v>
      </c>
      <c r="E74" s="5">
        <v>2784647</v>
      </c>
      <c r="F74" s="5" t="s">
        <v>852</v>
      </c>
      <c r="G74" s="9" t="s">
        <v>853</v>
      </c>
    </row>
    <row r="75" spans="1:7" x14ac:dyDescent="0.25">
      <c r="A75" s="8">
        <v>900974</v>
      </c>
      <c r="B75" s="6" t="s">
        <v>854</v>
      </c>
      <c r="C75" s="5" t="s">
        <v>855</v>
      </c>
      <c r="D75" s="7">
        <v>27603</v>
      </c>
      <c r="E75" s="5">
        <v>2785241</v>
      </c>
      <c r="F75" s="5" t="s">
        <v>856</v>
      </c>
      <c r="G75" s="9" t="s">
        <v>857</v>
      </c>
    </row>
    <row r="76" spans="1:7" x14ac:dyDescent="0.25">
      <c r="A76" s="8">
        <v>900975</v>
      </c>
      <c r="B76" s="6" t="s">
        <v>858</v>
      </c>
      <c r="C76" s="5" t="s">
        <v>859</v>
      </c>
      <c r="D76" s="7">
        <v>18963</v>
      </c>
      <c r="E76" s="5">
        <v>2785261</v>
      </c>
      <c r="F76" s="5" t="s">
        <v>860</v>
      </c>
      <c r="G76" s="9" t="s">
        <v>861</v>
      </c>
    </row>
    <row r="77" spans="1:7" x14ac:dyDescent="0.25">
      <c r="A77" s="8">
        <v>900976</v>
      </c>
      <c r="B77" s="6" t="s">
        <v>862</v>
      </c>
      <c r="C77" s="5" t="s">
        <v>863</v>
      </c>
      <c r="D77" s="7">
        <v>23947</v>
      </c>
      <c r="E77" s="5">
        <v>2786521</v>
      </c>
      <c r="F77" s="5" t="s">
        <v>864</v>
      </c>
      <c r="G77" s="9" t="s">
        <v>865</v>
      </c>
    </row>
    <row r="78" spans="1:7" x14ac:dyDescent="0.25">
      <c r="A78" s="8">
        <v>900977</v>
      </c>
      <c r="B78" s="6" t="s">
        <v>866</v>
      </c>
      <c r="C78" s="5" t="s">
        <v>867</v>
      </c>
      <c r="D78" s="7">
        <v>19477</v>
      </c>
      <c r="E78" s="5">
        <v>2788223</v>
      </c>
      <c r="F78" s="5" t="s">
        <v>868</v>
      </c>
      <c r="G78" s="9" t="s">
        <v>869</v>
      </c>
    </row>
    <row r="79" spans="1:7" x14ac:dyDescent="0.25">
      <c r="A79" s="8">
        <v>900978</v>
      </c>
      <c r="B79" s="6" t="s">
        <v>870</v>
      </c>
      <c r="C79" s="5" t="s">
        <v>871</v>
      </c>
      <c r="D79" s="7">
        <v>26390</v>
      </c>
      <c r="E79" s="5">
        <v>2790955</v>
      </c>
      <c r="F79" s="5" t="s">
        <v>872</v>
      </c>
      <c r="G79" s="9" t="s">
        <v>873</v>
      </c>
    </row>
    <row r="80" spans="1:7" x14ac:dyDescent="0.25">
      <c r="A80" s="8">
        <v>900979</v>
      </c>
      <c r="B80" s="6" t="s">
        <v>642</v>
      </c>
      <c r="C80" s="5" t="s">
        <v>874</v>
      </c>
      <c r="D80" s="7">
        <v>27088</v>
      </c>
      <c r="E80" s="5">
        <v>2791281</v>
      </c>
      <c r="F80" s="5" t="s">
        <v>875</v>
      </c>
      <c r="G80" s="9" t="s">
        <v>876</v>
      </c>
    </row>
    <row r="81" spans="1:7" x14ac:dyDescent="0.25">
      <c r="A81" s="8">
        <v>900980</v>
      </c>
      <c r="B81" s="6" t="s">
        <v>877</v>
      </c>
      <c r="C81" s="5" t="s">
        <v>878</v>
      </c>
      <c r="D81" s="7">
        <v>20470</v>
      </c>
      <c r="E81" s="5">
        <v>2792094</v>
      </c>
      <c r="F81" s="5" t="s">
        <v>879</v>
      </c>
      <c r="G81" s="9" t="s">
        <v>880</v>
      </c>
    </row>
    <row r="82" spans="1:7" x14ac:dyDescent="0.25">
      <c r="A82" s="8">
        <v>900981</v>
      </c>
      <c r="B82" s="6" t="s">
        <v>881</v>
      </c>
      <c r="C82" s="5" t="s">
        <v>882</v>
      </c>
      <c r="D82" s="7">
        <v>17994</v>
      </c>
      <c r="E82" s="5">
        <v>2792215</v>
      </c>
      <c r="F82" s="5" t="s">
        <v>883</v>
      </c>
      <c r="G82" s="9" t="s">
        <v>884</v>
      </c>
    </row>
    <row r="83" spans="1:7" x14ac:dyDescent="0.25">
      <c r="A83" s="8">
        <v>900982</v>
      </c>
      <c r="B83" s="6" t="s">
        <v>885</v>
      </c>
      <c r="C83" s="5" t="s">
        <v>886</v>
      </c>
      <c r="D83" s="7">
        <v>26270</v>
      </c>
      <c r="E83" s="5">
        <v>2793167</v>
      </c>
      <c r="F83" s="5" t="s">
        <v>887</v>
      </c>
      <c r="G83" s="9" t="s">
        <v>888</v>
      </c>
    </row>
    <row r="84" spans="1:7" x14ac:dyDescent="0.25">
      <c r="A84" s="8">
        <v>900983</v>
      </c>
      <c r="B84" s="6" t="s">
        <v>889</v>
      </c>
      <c r="C84" s="5" t="s">
        <v>890</v>
      </c>
      <c r="D84" s="7">
        <v>27242</v>
      </c>
      <c r="E84" s="5">
        <v>2794465</v>
      </c>
      <c r="F84" s="5" t="s">
        <v>891</v>
      </c>
      <c r="G84" s="9" t="s">
        <v>892</v>
      </c>
    </row>
    <row r="85" spans="1:7" x14ac:dyDescent="0.25">
      <c r="A85" s="8">
        <v>900984</v>
      </c>
      <c r="B85" s="6" t="s">
        <v>893</v>
      </c>
      <c r="C85" s="5" t="s">
        <v>894</v>
      </c>
      <c r="D85" s="7">
        <v>21530</v>
      </c>
      <c r="E85" s="5">
        <v>2795843</v>
      </c>
      <c r="F85" s="5" t="s">
        <v>895</v>
      </c>
      <c r="G85" s="9" t="s">
        <v>896</v>
      </c>
    </row>
    <row r="86" spans="1:7" x14ac:dyDescent="0.25">
      <c r="A86" s="8">
        <v>900985</v>
      </c>
      <c r="B86" s="6" t="s">
        <v>897</v>
      </c>
      <c r="C86" s="5" t="s">
        <v>898</v>
      </c>
      <c r="D86" s="7">
        <v>21848</v>
      </c>
      <c r="E86" s="5">
        <v>2797216</v>
      </c>
      <c r="F86" s="5" t="s">
        <v>899</v>
      </c>
      <c r="G86" s="9" t="s">
        <v>900</v>
      </c>
    </row>
    <row r="87" spans="1:7" x14ac:dyDescent="0.25">
      <c r="A87" s="8">
        <v>900986</v>
      </c>
      <c r="B87" s="6" t="s">
        <v>901</v>
      </c>
      <c r="C87" s="5" t="s">
        <v>902</v>
      </c>
      <c r="D87" s="7">
        <v>24645</v>
      </c>
      <c r="E87" s="5">
        <v>2798293</v>
      </c>
      <c r="F87" s="5" t="s">
        <v>903</v>
      </c>
      <c r="G87" s="9" t="s">
        <v>904</v>
      </c>
    </row>
    <row r="88" spans="1:7" x14ac:dyDescent="0.25">
      <c r="A88" s="8">
        <v>900987</v>
      </c>
      <c r="B88" s="6" t="s">
        <v>905</v>
      </c>
      <c r="C88" s="5" t="s">
        <v>906</v>
      </c>
      <c r="D88" s="7">
        <v>30275</v>
      </c>
      <c r="E88" s="5">
        <v>2798863</v>
      </c>
      <c r="F88" s="5" t="s">
        <v>907</v>
      </c>
      <c r="G88" s="9" t="s">
        <v>908</v>
      </c>
    </row>
    <row r="89" spans="1:7" x14ac:dyDescent="0.25">
      <c r="A89" s="8">
        <v>900988</v>
      </c>
      <c r="B89" s="6" t="s">
        <v>909</v>
      </c>
      <c r="C89" s="5" t="s">
        <v>910</v>
      </c>
      <c r="D89" s="7">
        <v>20274</v>
      </c>
      <c r="E89" s="5">
        <v>2799005</v>
      </c>
      <c r="F89" s="5" t="s">
        <v>911</v>
      </c>
      <c r="G89" s="9" t="s">
        <v>912</v>
      </c>
    </row>
    <row r="90" spans="1:7" x14ac:dyDescent="0.25">
      <c r="A90" s="8">
        <v>900989</v>
      </c>
      <c r="B90" s="6" t="s">
        <v>913</v>
      </c>
      <c r="C90" s="5" t="s">
        <v>914</v>
      </c>
      <c r="D90" s="7">
        <v>18448</v>
      </c>
      <c r="E90" s="5">
        <v>2799080</v>
      </c>
      <c r="F90" s="5" t="s">
        <v>915</v>
      </c>
      <c r="G90" s="9" t="s">
        <v>916</v>
      </c>
    </row>
    <row r="91" spans="1:7" x14ac:dyDescent="0.25">
      <c r="A91" s="8">
        <v>900990</v>
      </c>
      <c r="B91" s="6" t="s">
        <v>917</v>
      </c>
      <c r="C91" s="5" t="s">
        <v>918</v>
      </c>
      <c r="D91" s="7">
        <v>20079</v>
      </c>
      <c r="E91" s="5">
        <v>2799668</v>
      </c>
      <c r="F91" s="5" t="s">
        <v>919</v>
      </c>
      <c r="G91" s="9" t="s">
        <v>920</v>
      </c>
    </row>
    <row r="92" spans="1:7" x14ac:dyDescent="0.25">
      <c r="A92" s="8">
        <v>900991</v>
      </c>
      <c r="B92" s="6" t="s">
        <v>921</v>
      </c>
      <c r="C92" s="5" t="s">
        <v>922</v>
      </c>
      <c r="D92" s="7">
        <v>27311</v>
      </c>
      <c r="E92" s="5">
        <v>2802344</v>
      </c>
      <c r="F92" s="5" t="s">
        <v>923</v>
      </c>
      <c r="G92" s="9" t="s">
        <v>924</v>
      </c>
    </row>
    <row r="93" spans="1:7" x14ac:dyDescent="0.25">
      <c r="A93" s="8">
        <v>900992</v>
      </c>
      <c r="B93" s="6" t="s">
        <v>925</v>
      </c>
      <c r="C93" s="5" t="s">
        <v>926</v>
      </c>
      <c r="D93" s="7">
        <v>30861</v>
      </c>
      <c r="E93" s="5">
        <v>2802624</v>
      </c>
      <c r="F93" s="5" t="s">
        <v>927</v>
      </c>
      <c r="G93" s="9" t="s">
        <v>928</v>
      </c>
    </row>
    <row r="94" spans="1:7" x14ac:dyDescent="0.25">
      <c r="A94" s="8">
        <v>900993</v>
      </c>
      <c r="B94" s="6" t="s">
        <v>929</v>
      </c>
      <c r="C94" s="5" t="s">
        <v>930</v>
      </c>
      <c r="D94" s="7">
        <v>28976</v>
      </c>
      <c r="E94" s="5">
        <v>2804738</v>
      </c>
      <c r="F94" s="5" t="s">
        <v>931</v>
      </c>
      <c r="G94" s="9" t="s">
        <v>932</v>
      </c>
    </row>
    <row r="95" spans="1:7" x14ac:dyDescent="0.25">
      <c r="A95" s="8">
        <v>900994</v>
      </c>
      <c r="B95" s="6" t="s">
        <v>933</v>
      </c>
      <c r="C95" s="5" t="s">
        <v>934</v>
      </c>
      <c r="D95" s="7">
        <v>21756</v>
      </c>
      <c r="E95" s="5">
        <v>2804944</v>
      </c>
      <c r="F95" s="5" t="s">
        <v>935</v>
      </c>
      <c r="G95" s="9" t="s">
        <v>936</v>
      </c>
    </row>
    <row r="96" spans="1:7" x14ac:dyDescent="0.25">
      <c r="A96" s="8">
        <v>900995</v>
      </c>
      <c r="B96" s="6" t="s">
        <v>937</v>
      </c>
      <c r="C96" s="5" t="s">
        <v>938</v>
      </c>
      <c r="D96" s="7">
        <v>18790</v>
      </c>
      <c r="E96" s="5">
        <v>2806309</v>
      </c>
      <c r="F96" s="5" t="s">
        <v>939</v>
      </c>
      <c r="G96" s="9" t="s">
        <v>940</v>
      </c>
    </row>
    <row r="97" spans="1:7" x14ac:dyDescent="0.25">
      <c r="A97" s="8">
        <v>900996</v>
      </c>
      <c r="B97" s="6" t="s">
        <v>941</v>
      </c>
      <c r="C97" s="5" t="s">
        <v>942</v>
      </c>
      <c r="D97" s="7">
        <v>25198</v>
      </c>
      <c r="E97" s="5">
        <v>2808327</v>
      </c>
      <c r="F97" s="5" t="s">
        <v>943</v>
      </c>
      <c r="G97" s="9" t="s">
        <v>944</v>
      </c>
    </row>
    <row r="98" spans="1:7" x14ac:dyDescent="0.25">
      <c r="A98" s="8">
        <v>900997</v>
      </c>
      <c r="B98" s="6" t="s">
        <v>945</v>
      </c>
      <c r="C98" s="5" t="s">
        <v>946</v>
      </c>
      <c r="D98" s="7">
        <v>29056</v>
      </c>
      <c r="E98" s="5">
        <v>2810996</v>
      </c>
      <c r="F98" s="5" t="s">
        <v>947</v>
      </c>
      <c r="G98" s="9" t="s">
        <v>948</v>
      </c>
    </row>
    <row r="99" spans="1:7" x14ac:dyDescent="0.25">
      <c r="A99" s="8">
        <v>900998</v>
      </c>
      <c r="B99" s="6" t="s">
        <v>949</v>
      </c>
      <c r="C99" s="5" t="s">
        <v>950</v>
      </c>
      <c r="D99" s="7">
        <v>16937</v>
      </c>
      <c r="E99" s="5">
        <v>2814682</v>
      </c>
      <c r="F99" s="5" t="s">
        <v>951</v>
      </c>
      <c r="G99" s="9" t="s">
        <v>952</v>
      </c>
    </row>
    <row r="100" spans="1:7" x14ac:dyDescent="0.25">
      <c r="A100" s="8">
        <v>900999</v>
      </c>
      <c r="B100" s="6" t="s">
        <v>953</v>
      </c>
      <c r="C100" s="5" t="s">
        <v>954</v>
      </c>
      <c r="D100" s="7">
        <v>21506</v>
      </c>
      <c r="E100" s="5">
        <v>2816772</v>
      </c>
      <c r="F100" s="5" t="s">
        <v>955</v>
      </c>
      <c r="G100" s="9" t="s">
        <v>956</v>
      </c>
    </row>
    <row r="101" spans="1:7" x14ac:dyDescent="0.25">
      <c r="A101" s="8">
        <v>901000</v>
      </c>
      <c r="B101" s="6" t="s">
        <v>957</v>
      </c>
      <c r="C101" s="5" t="s">
        <v>958</v>
      </c>
      <c r="D101" s="7">
        <v>17101</v>
      </c>
      <c r="E101" s="5">
        <v>2819156</v>
      </c>
      <c r="F101" s="5" t="s">
        <v>959</v>
      </c>
      <c r="G101" s="9" t="s">
        <v>960</v>
      </c>
    </row>
    <row r="102" spans="1:7" x14ac:dyDescent="0.25">
      <c r="A102" s="8">
        <v>901001</v>
      </c>
      <c r="B102" s="6" t="s">
        <v>961</v>
      </c>
      <c r="C102" s="5" t="s">
        <v>962</v>
      </c>
      <c r="D102" s="7">
        <v>28979</v>
      </c>
      <c r="E102" s="5">
        <v>2820949</v>
      </c>
      <c r="F102" s="5" t="s">
        <v>963</v>
      </c>
      <c r="G102" s="9" t="s">
        <v>964</v>
      </c>
    </row>
    <row r="103" spans="1:7" x14ac:dyDescent="0.25">
      <c r="A103" s="8">
        <v>901002</v>
      </c>
      <c r="B103" s="6" t="s">
        <v>965</v>
      </c>
      <c r="C103" s="5" t="s">
        <v>966</v>
      </c>
      <c r="D103" s="7">
        <v>23603</v>
      </c>
      <c r="E103" s="5">
        <v>2821764</v>
      </c>
      <c r="F103" s="5" t="s">
        <v>967</v>
      </c>
      <c r="G103" s="9" t="s">
        <v>968</v>
      </c>
    </row>
    <row r="104" spans="1:7" x14ac:dyDescent="0.25">
      <c r="A104" s="8">
        <v>901003</v>
      </c>
      <c r="B104" s="6" t="s">
        <v>969</v>
      </c>
      <c r="C104" s="5" t="s">
        <v>970</v>
      </c>
      <c r="D104" s="7">
        <v>32400</v>
      </c>
      <c r="E104" s="5">
        <v>2822493</v>
      </c>
      <c r="F104" s="5" t="s">
        <v>971</v>
      </c>
      <c r="G104" s="9" t="s">
        <v>972</v>
      </c>
    </row>
    <row r="105" spans="1:7" x14ac:dyDescent="0.25">
      <c r="A105" s="8">
        <v>901004</v>
      </c>
      <c r="B105" s="6" t="s">
        <v>973</v>
      </c>
      <c r="C105" s="5" t="s">
        <v>974</v>
      </c>
      <c r="D105" s="7">
        <v>23625</v>
      </c>
      <c r="E105" s="5">
        <v>2822731</v>
      </c>
      <c r="F105" s="5" t="s">
        <v>975</v>
      </c>
      <c r="G105" s="9" t="s">
        <v>976</v>
      </c>
    </row>
    <row r="106" spans="1:7" x14ac:dyDescent="0.25">
      <c r="A106" s="8">
        <v>901005</v>
      </c>
      <c r="B106" s="6" t="s">
        <v>977</v>
      </c>
      <c r="C106" s="5" t="s">
        <v>978</v>
      </c>
      <c r="D106" s="7">
        <v>17384</v>
      </c>
      <c r="E106" s="5">
        <v>2824676</v>
      </c>
      <c r="F106" s="5" t="s">
        <v>979</v>
      </c>
      <c r="G106" s="9" t="s">
        <v>980</v>
      </c>
    </row>
    <row r="107" spans="1:7" x14ac:dyDescent="0.25">
      <c r="A107" s="8">
        <v>901006</v>
      </c>
      <c r="B107" s="6" t="s">
        <v>981</v>
      </c>
      <c r="C107" s="5" t="s">
        <v>982</v>
      </c>
      <c r="D107" s="7">
        <v>32688</v>
      </c>
      <c r="E107" s="5">
        <v>2830197</v>
      </c>
      <c r="F107" s="5" t="s">
        <v>983</v>
      </c>
      <c r="G107" s="9" t="s">
        <v>984</v>
      </c>
    </row>
    <row r="108" spans="1:7" x14ac:dyDescent="0.25">
      <c r="A108" s="8">
        <v>901007</v>
      </c>
      <c r="B108" s="6" t="s">
        <v>985</v>
      </c>
      <c r="C108" s="5" t="s">
        <v>986</v>
      </c>
      <c r="D108" s="7">
        <v>21996</v>
      </c>
      <c r="E108" s="5">
        <v>2831782</v>
      </c>
      <c r="F108" s="5" t="s">
        <v>987</v>
      </c>
      <c r="G108" s="9" t="s">
        <v>988</v>
      </c>
    </row>
    <row r="109" spans="1:7" x14ac:dyDescent="0.25">
      <c r="A109" s="8">
        <v>901008</v>
      </c>
      <c r="B109" s="6" t="s">
        <v>989</v>
      </c>
      <c r="C109" s="5" t="s">
        <v>990</v>
      </c>
      <c r="D109" s="7">
        <v>26645</v>
      </c>
      <c r="E109" s="5">
        <v>2833342</v>
      </c>
      <c r="F109" s="5" t="s">
        <v>991</v>
      </c>
      <c r="G109" s="9" t="s">
        <v>992</v>
      </c>
    </row>
    <row r="110" spans="1:7" x14ac:dyDescent="0.25">
      <c r="A110" s="8">
        <v>901009</v>
      </c>
      <c r="B110" s="6" t="s">
        <v>993</v>
      </c>
      <c r="C110" s="5" t="s">
        <v>994</v>
      </c>
      <c r="D110" s="7">
        <v>27923</v>
      </c>
      <c r="E110" s="5">
        <v>2836015</v>
      </c>
      <c r="F110" s="5" t="s">
        <v>995</v>
      </c>
      <c r="G110" s="9" t="s">
        <v>996</v>
      </c>
    </row>
    <row r="111" spans="1:7" x14ac:dyDescent="0.25">
      <c r="A111" s="8">
        <v>901010</v>
      </c>
      <c r="B111" s="6" t="s">
        <v>997</v>
      </c>
      <c r="C111" s="5" t="s">
        <v>998</v>
      </c>
      <c r="D111" s="7">
        <v>27858</v>
      </c>
      <c r="E111" s="5">
        <v>2837512</v>
      </c>
      <c r="F111" s="5" t="s">
        <v>999</v>
      </c>
      <c r="G111" s="9" t="s">
        <v>1000</v>
      </c>
    </row>
    <row r="112" spans="1:7" x14ac:dyDescent="0.25">
      <c r="A112" s="8">
        <v>901011</v>
      </c>
      <c r="B112" s="6" t="s">
        <v>1001</v>
      </c>
      <c r="C112" s="5" t="s">
        <v>1002</v>
      </c>
      <c r="D112" s="7">
        <v>24736</v>
      </c>
      <c r="E112" s="5">
        <v>2844246</v>
      </c>
      <c r="F112" s="5" t="s">
        <v>1003</v>
      </c>
      <c r="G112" s="9" t="s">
        <v>1004</v>
      </c>
    </row>
    <row r="113" spans="1:7" x14ac:dyDescent="0.25">
      <c r="A113" s="8">
        <v>901012</v>
      </c>
      <c r="B113" s="6" t="s">
        <v>1005</v>
      </c>
      <c r="C113" s="5" t="s">
        <v>1006</v>
      </c>
      <c r="D113" s="7">
        <v>23973</v>
      </c>
      <c r="E113" s="5">
        <v>2844256</v>
      </c>
      <c r="F113" s="5" t="s">
        <v>1007</v>
      </c>
      <c r="G113" s="9" t="s">
        <v>1008</v>
      </c>
    </row>
    <row r="114" spans="1:7" x14ac:dyDescent="0.25">
      <c r="A114" s="8">
        <v>901013</v>
      </c>
      <c r="B114" s="6" t="s">
        <v>1009</v>
      </c>
      <c r="C114" s="5" t="s">
        <v>1010</v>
      </c>
      <c r="D114" s="7">
        <v>25345</v>
      </c>
      <c r="E114" s="5">
        <v>2845332</v>
      </c>
      <c r="F114" s="5" t="s">
        <v>1011</v>
      </c>
      <c r="G114" s="9" t="s">
        <v>1012</v>
      </c>
    </row>
    <row r="115" spans="1:7" x14ac:dyDescent="0.25">
      <c r="A115" s="8">
        <v>901014</v>
      </c>
      <c r="B115" s="6" t="s">
        <v>1013</v>
      </c>
      <c r="C115" s="5" t="s">
        <v>1014</v>
      </c>
      <c r="D115" s="7">
        <v>25933</v>
      </c>
      <c r="E115" s="5">
        <v>2847179</v>
      </c>
      <c r="F115" s="5" t="s">
        <v>1015</v>
      </c>
      <c r="G115" s="9" t="s">
        <v>1016</v>
      </c>
    </row>
    <row r="116" spans="1:7" x14ac:dyDescent="0.25">
      <c r="A116" s="8">
        <v>901015</v>
      </c>
      <c r="B116" s="6" t="s">
        <v>1017</v>
      </c>
      <c r="C116" s="5" t="s">
        <v>1018</v>
      </c>
      <c r="D116" s="7">
        <v>20412</v>
      </c>
      <c r="E116" s="5">
        <v>2848306</v>
      </c>
      <c r="F116" s="5" t="s">
        <v>1019</v>
      </c>
      <c r="G116" s="9" t="s">
        <v>1020</v>
      </c>
    </row>
    <row r="117" spans="1:7" x14ac:dyDescent="0.25">
      <c r="A117" s="8">
        <v>901016</v>
      </c>
      <c r="B117" s="6" t="s">
        <v>1021</v>
      </c>
      <c r="C117" s="5" t="s">
        <v>1022</v>
      </c>
      <c r="D117" s="7">
        <v>23412</v>
      </c>
      <c r="E117" s="5">
        <v>2850313</v>
      </c>
      <c r="F117" s="5" t="s">
        <v>1023</v>
      </c>
      <c r="G117" s="9" t="s">
        <v>1024</v>
      </c>
    </row>
    <row r="118" spans="1:7" x14ac:dyDescent="0.25">
      <c r="A118" s="8">
        <v>901017</v>
      </c>
      <c r="B118" s="6" t="s">
        <v>1025</v>
      </c>
      <c r="C118" s="5" t="s">
        <v>1026</v>
      </c>
      <c r="D118" s="7">
        <v>30211</v>
      </c>
      <c r="E118" s="5">
        <v>2852217</v>
      </c>
      <c r="F118" s="5" t="s">
        <v>1027</v>
      </c>
      <c r="G118" s="9" t="s">
        <v>1028</v>
      </c>
    </row>
    <row r="119" spans="1:7" x14ac:dyDescent="0.25">
      <c r="A119" s="8">
        <v>901018</v>
      </c>
      <c r="B119" s="6" t="s">
        <v>1029</v>
      </c>
      <c r="C119" s="5" t="s">
        <v>1030</v>
      </c>
      <c r="D119" s="7">
        <v>25776</v>
      </c>
      <c r="E119" s="5">
        <v>2855070</v>
      </c>
      <c r="F119" s="5" t="s">
        <v>1031</v>
      </c>
      <c r="G119" s="9" t="s">
        <v>1032</v>
      </c>
    </row>
    <row r="120" spans="1:7" x14ac:dyDescent="0.25">
      <c r="A120" s="8">
        <v>901019</v>
      </c>
      <c r="B120" s="6" t="s">
        <v>1033</v>
      </c>
      <c r="C120" s="5" t="s">
        <v>1034</v>
      </c>
      <c r="D120" s="7">
        <v>29035</v>
      </c>
      <c r="E120" s="5">
        <v>2860153</v>
      </c>
      <c r="F120" s="5" t="s">
        <v>1035</v>
      </c>
      <c r="G120" s="9" t="s">
        <v>1036</v>
      </c>
    </row>
    <row r="121" spans="1:7" x14ac:dyDescent="0.25">
      <c r="A121" s="8">
        <v>901020</v>
      </c>
      <c r="B121" s="6" t="s">
        <v>1037</v>
      </c>
      <c r="C121" s="5" t="s">
        <v>1038</v>
      </c>
      <c r="D121" s="7">
        <v>30564</v>
      </c>
      <c r="E121" s="5">
        <v>2860424</v>
      </c>
      <c r="F121" s="5" t="s">
        <v>1039</v>
      </c>
      <c r="G121" s="9" t="s">
        <v>1040</v>
      </c>
    </row>
    <row r="122" spans="1:7" x14ac:dyDescent="0.25">
      <c r="A122" s="8">
        <v>901021</v>
      </c>
      <c r="B122" s="6" t="s">
        <v>1041</v>
      </c>
      <c r="C122" s="5" t="s">
        <v>1042</v>
      </c>
      <c r="D122" s="7">
        <v>21364</v>
      </c>
      <c r="E122" s="5">
        <v>2865033</v>
      </c>
      <c r="F122" s="5" t="s">
        <v>1043</v>
      </c>
      <c r="G122" s="9" t="s">
        <v>1044</v>
      </c>
    </row>
    <row r="123" spans="1:7" x14ac:dyDescent="0.25">
      <c r="A123" s="8">
        <v>901022</v>
      </c>
      <c r="B123" s="6" t="s">
        <v>1045</v>
      </c>
      <c r="C123" s="5" t="s">
        <v>1046</v>
      </c>
      <c r="D123" s="7">
        <v>22003</v>
      </c>
      <c r="E123" s="5">
        <v>2866287</v>
      </c>
      <c r="F123" s="5" t="s">
        <v>1047</v>
      </c>
      <c r="G123" s="9" t="s">
        <v>1048</v>
      </c>
    </row>
    <row r="124" spans="1:7" x14ac:dyDescent="0.25">
      <c r="A124" s="8">
        <v>901023</v>
      </c>
      <c r="B124" s="6" t="s">
        <v>1049</v>
      </c>
      <c r="C124" s="5" t="s">
        <v>1050</v>
      </c>
      <c r="D124" s="7">
        <v>29151</v>
      </c>
      <c r="E124" s="5">
        <v>2869157</v>
      </c>
      <c r="F124" s="5" t="s">
        <v>1051</v>
      </c>
      <c r="G124" s="9" t="s">
        <v>1052</v>
      </c>
    </row>
    <row r="125" spans="1:7" x14ac:dyDescent="0.25">
      <c r="A125" s="8">
        <v>901024</v>
      </c>
      <c r="B125" s="6" t="s">
        <v>1053</v>
      </c>
      <c r="C125" s="5" t="s">
        <v>1054</v>
      </c>
      <c r="D125" s="7">
        <v>17058</v>
      </c>
      <c r="E125" s="5">
        <v>2869355</v>
      </c>
      <c r="F125" s="5" t="s">
        <v>1055</v>
      </c>
      <c r="G125" s="9" t="s">
        <v>1056</v>
      </c>
    </row>
    <row r="126" spans="1:7" x14ac:dyDescent="0.25">
      <c r="A126" s="8">
        <v>901025</v>
      </c>
      <c r="B126" s="6" t="s">
        <v>1057</v>
      </c>
      <c r="C126" s="5" t="s">
        <v>1058</v>
      </c>
      <c r="D126" s="7">
        <v>31381</v>
      </c>
      <c r="E126" s="5">
        <v>2871123</v>
      </c>
      <c r="F126" s="5" t="s">
        <v>1059</v>
      </c>
      <c r="G126" s="9" t="s">
        <v>1060</v>
      </c>
    </row>
    <row r="127" spans="1:7" x14ac:dyDescent="0.25">
      <c r="A127" s="8">
        <v>901026</v>
      </c>
      <c r="B127" s="6" t="s">
        <v>1061</v>
      </c>
      <c r="C127" s="5" t="s">
        <v>1062</v>
      </c>
      <c r="D127" s="7">
        <v>21572</v>
      </c>
      <c r="E127" s="5">
        <v>2874475</v>
      </c>
      <c r="F127" s="5" t="s">
        <v>1063</v>
      </c>
      <c r="G127" s="9" t="s">
        <v>1064</v>
      </c>
    </row>
    <row r="128" spans="1:7" x14ac:dyDescent="0.25">
      <c r="A128" s="8">
        <v>901027</v>
      </c>
      <c r="B128" s="6" t="s">
        <v>1065</v>
      </c>
      <c r="C128" s="5" t="s">
        <v>1066</v>
      </c>
      <c r="D128" s="7">
        <v>27628</v>
      </c>
      <c r="E128" s="5">
        <v>2874735</v>
      </c>
      <c r="F128" s="5" t="s">
        <v>1067</v>
      </c>
      <c r="G128" s="9" t="s">
        <v>1068</v>
      </c>
    </row>
    <row r="129" spans="1:7" x14ac:dyDescent="0.25">
      <c r="A129" s="8">
        <v>901028</v>
      </c>
      <c r="B129" s="6" t="s">
        <v>1069</v>
      </c>
      <c r="C129" s="5" t="s">
        <v>1070</v>
      </c>
      <c r="D129" s="7">
        <v>31322</v>
      </c>
      <c r="E129" s="5">
        <v>2875822</v>
      </c>
      <c r="F129" s="5" t="s">
        <v>1071</v>
      </c>
      <c r="G129" s="9" t="s">
        <v>1072</v>
      </c>
    </row>
    <row r="130" spans="1:7" x14ac:dyDescent="0.25">
      <c r="A130" s="8">
        <v>901029</v>
      </c>
      <c r="B130" s="6" t="s">
        <v>1073</v>
      </c>
      <c r="C130" s="5" t="s">
        <v>1074</v>
      </c>
      <c r="D130" s="7">
        <v>24228</v>
      </c>
      <c r="E130" s="5">
        <v>2876202</v>
      </c>
      <c r="F130" s="5" t="s">
        <v>1075</v>
      </c>
      <c r="G130" s="9" t="s">
        <v>1076</v>
      </c>
    </row>
    <row r="131" spans="1:7" x14ac:dyDescent="0.25">
      <c r="A131" s="8">
        <v>901030</v>
      </c>
      <c r="B131" s="6" t="s">
        <v>1077</v>
      </c>
      <c r="C131" s="5" t="s">
        <v>1078</v>
      </c>
      <c r="D131" s="7">
        <v>28300</v>
      </c>
      <c r="E131" s="5">
        <v>2879278</v>
      </c>
      <c r="F131" s="5" t="s">
        <v>1079</v>
      </c>
      <c r="G131" s="9" t="s">
        <v>1080</v>
      </c>
    </row>
    <row r="132" spans="1:7" x14ac:dyDescent="0.25">
      <c r="A132" s="8">
        <v>901031</v>
      </c>
      <c r="B132" s="6" t="s">
        <v>1081</v>
      </c>
      <c r="C132" s="5" t="s">
        <v>1082</v>
      </c>
      <c r="D132" s="7">
        <v>18210</v>
      </c>
      <c r="E132" s="5">
        <v>2880527</v>
      </c>
      <c r="F132" s="5" t="s">
        <v>1083</v>
      </c>
      <c r="G132" s="9" t="s">
        <v>1084</v>
      </c>
    </row>
    <row r="133" spans="1:7" x14ac:dyDescent="0.25">
      <c r="A133" s="8">
        <v>901032</v>
      </c>
      <c r="B133" s="6" t="s">
        <v>1085</v>
      </c>
      <c r="C133" s="5" t="s">
        <v>1086</v>
      </c>
      <c r="D133" s="7">
        <v>26037</v>
      </c>
      <c r="E133" s="5">
        <v>2882850</v>
      </c>
      <c r="F133" s="5" t="s">
        <v>1087</v>
      </c>
      <c r="G133" s="9" t="s">
        <v>1088</v>
      </c>
    </row>
    <row r="134" spans="1:7" x14ac:dyDescent="0.25">
      <c r="A134" s="8">
        <v>901033</v>
      </c>
      <c r="B134" s="6" t="s">
        <v>1089</v>
      </c>
      <c r="C134" s="5" t="s">
        <v>1090</v>
      </c>
      <c r="D134" s="7">
        <v>21230</v>
      </c>
      <c r="E134" s="5">
        <v>2883568</v>
      </c>
      <c r="F134" s="5" t="s">
        <v>1091</v>
      </c>
      <c r="G134" s="9" t="s">
        <v>1092</v>
      </c>
    </row>
    <row r="135" spans="1:7" x14ac:dyDescent="0.25">
      <c r="A135" s="8">
        <v>901034</v>
      </c>
      <c r="B135" s="6" t="s">
        <v>1093</v>
      </c>
      <c r="C135" s="5" t="s">
        <v>1094</v>
      </c>
      <c r="D135" s="7">
        <v>32781</v>
      </c>
      <c r="E135" s="5">
        <v>2885389</v>
      </c>
      <c r="F135" s="5" t="s">
        <v>1095</v>
      </c>
      <c r="G135" s="9" t="s">
        <v>1096</v>
      </c>
    </row>
    <row r="136" spans="1:7" x14ac:dyDescent="0.25">
      <c r="A136" s="8">
        <v>901035</v>
      </c>
      <c r="B136" s="6" t="s">
        <v>1097</v>
      </c>
      <c r="C136" s="5" t="s">
        <v>1098</v>
      </c>
      <c r="D136" s="7">
        <v>25556</v>
      </c>
      <c r="E136" s="5">
        <v>2886149</v>
      </c>
      <c r="F136" s="5" t="s">
        <v>1099</v>
      </c>
      <c r="G136" s="9" t="s">
        <v>1100</v>
      </c>
    </row>
    <row r="137" spans="1:7" x14ac:dyDescent="0.25">
      <c r="A137" s="8">
        <v>901036</v>
      </c>
      <c r="B137" s="6" t="s">
        <v>1101</v>
      </c>
      <c r="C137" s="5" t="s">
        <v>1102</v>
      </c>
      <c r="D137" s="7">
        <v>28468</v>
      </c>
      <c r="E137" s="5">
        <v>2888034</v>
      </c>
      <c r="F137" s="5" t="s">
        <v>1103</v>
      </c>
      <c r="G137" s="9" t="s">
        <v>1104</v>
      </c>
    </row>
    <row r="138" spans="1:7" x14ac:dyDescent="0.25">
      <c r="A138" s="8">
        <v>901037</v>
      </c>
      <c r="B138" s="6" t="s">
        <v>1105</v>
      </c>
      <c r="C138" s="5" t="s">
        <v>1106</v>
      </c>
      <c r="D138" s="7">
        <v>24046</v>
      </c>
      <c r="E138" s="5">
        <v>2890203</v>
      </c>
      <c r="F138" s="5" t="s">
        <v>1107</v>
      </c>
      <c r="G138" s="9" t="s">
        <v>1108</v>
      </c>
    </row>
    <row r="139" spans="1:7" x14ac:dyDescent="0.25">
      <c r="A139" s="8">
        <v>901038</v>
      </c>
      <c r="B139" s="6" t="s">
        <v>1109</v>
      </c>
      <c r="C139" s="5" t="s">
        <v>1110</v>
      </c>
      <c r="D139" s="7">
        <v>23709</v>
      </c>
      <c r="E139" s="5">
        <v>2890507</v>
      </c>
      <c r="F139" s="5" t="s">
        <v>1111</v>
      </c>
      <c r="G139" s="9" t="s">
        <v>1112</v>
      </c>
    </row>
    <row r="140" spans="1:7" x14ac:dyDescent="0.25">
      <c r="A140" s="8">
        <v>901039</v>
      </c>
      <c r="B140" s="6" t="s">
        <v>1113</v>
      </c>
      <c r="C140" s="5" t="s">
        <v>1114</v>
      </c>
      <c r="D140" s="7">
        <v>24330</v>
      </c>
      <c r="E140" s="5">
        <v>2893683</v>
      </c>
      <c r="F140" s="5" t="s">
        <v>1115</v>
      </c>
      <c r="G140" s="9" t="s">
        <v>1116</v>
      </c>
    </row>
    <row r="141" spans="1:7" x14ac:dyDescent="0.25">
      <c r="A141" s="8">
        <v>901040</v>
      </c>
      <c r="B141" s="6" t="s">
        <v>1117</v>
      </c>
      <c r="C141" s="5" t="s">
        <v>1118</v>
      </c>
      <c r="D141" s="7">
        <v>23797</v>
      </c>
      <c r="E141" s="5">
        <v>2893826</v>
      </c>
      <c r="F141" s="5" t="s">
        <v>1119</v>
      </c>
      <c r="G141" s="9" t="s">
        <v>1120</v>
      </c>
    </row>
    <row r="142" spans="1:7" x14ac:dyDescent="0.25">
      <c r="A142" s="8">
        <v>901041</v>
      </c>
      <c r="B142" s="6" t="s">
        <v>1121</v>
      </c>
      <c r="C142" s="5" t="s">
        <v>1122</v>
      </c>
      <c r="D142" s="7">
        <v>17906</v>
      </c>
      <c r="E142" s="5">
        <v>2898627</v>
      </c>
      <c r="F142" s="5" t="s">
        <v>1123</v>
      </c>
      <c r="G142" s="9" t="s">
        <v>1124</v>
      </c>
    </row>
    <row r="143" spans="1:7" x14ac:dyDescent="0.25">
      <c r="A143" s="8">
        <v>901042</v>
      </c>
      <c r="B143" s="6" t="s">
        <v>1125</v>
      </c>
      <c r="C143" s="5" t="s">
        <v>1126</v>
      </c>
      <c r="D143" s="7">
        <v>20422</v>
      </c>
      <c r="E143" s="5">
        <v>2900578</v>
      </c>
      <c r="F143" s="5" t="s">
        <v>1127</v>
      </c>
      <c r="G143" s="9" t="s">
        <v>1128</v>
      </c>
    </row>
    <row r="144" spans="1:7" x14ac:dyDescent="0.25">
      <c r="A144" s="8">
        <v>901043</v>
      </c>
      <c r="B144" s="6" t="s">
        <v>1129</v>
      </c>
      <c r="C144" s="5" t="s">
        <v>1130</v>
      </c>
      <c r="D144" s="7">
        <v>24394</v>
      </c>
      <c r="E144" s="5">
        <v>2903104</v>
      </c>
      <c r="F144" s="5" t="s">
        <v>1131</v>
      </c>
      <c r="G144" s="9" t="s">
        <v>1132</v>
      </c>
    </row>
    <row r="145" spans="1:7" x14ac:dyDescent="0.25">
      <c r="A145" s="8">
        <v>901044</v>
      </c>
      <c r="B145" s="6" t="s">
        <v>1133</v>
      </c>
      <c r="C145" s="5" t="s">
        <v>1134</v>
      </c>
      <c r="D145" s="7">
        <v>32610</v>
      </c>
      <c r="E145" s="5">
        <v>2905015</v>
      </c>
      <c r="F145" s="5" t="s">
        <v>1135</v>
      </c>
      <c r="G145" s="9" t="s">
        <v>1136</v>
      </c>
    </row>
    <row r="146" spans="1:7" x14ac:dyDescent="0.25">
      <c r="A146" s="8">
        <v>901045</v>
      </c>
      <c r="B146" s="6" t="s">
        <v>1137</v>
      </c>
      <c r="C146" s="5" t="s">
        <v>1138</v>
      </c>
      <c r="D146" s="7">
        <v>20103</v>
      </c>
      <c r="E146" s="5">
        <v>2910454</v>
      </c>
      <c r="F146" s="5" t="s">
        <v>1139</v>
      </c>
      <c r="G146" s="9" t="s">
        <v>1140</v>
      </c>
    </row>
    <row r="147" spans="1:7" x14ac:dyDescent="0.25">
      <c r="A147" s="8">
        <v>901046</v>
      </c>
      <c r="B147" s="6" t="s">
        <v>1141</v>
      </c>
      <c r="C147" s="5" t="s">
        <v>1142</v>
      </c>
      <c r="D147" s="7">
        <v>28400</v>
      </c>
      <c r="E147" s="5">
        <v>2912499</v>
      </c>
      <c r="F147" s="5" t="s">
        <v>1143</v>
      </c>
      <c r="G147" s="9" t="s">
        <v>1144</v>
      </c>
    </row>
    <row r="148" spans="1:7" x14ac:dyDescent="0.25">
      <c r="A148" s="8">
        <v>901047</v>
      </c>
      <c r="B148" s="6" t="s">
        <v>1145</v>
      </c>
      <c r="C148" s="5" t="s">
        <v>1146</v>
      </c>
      <c r="D148" s="7">
        <v>30058</v>
      </c>
      <c r="E148" s="5">
        <v>2913996</v>
      </c>
      <c r="F148" s="5" t="s">
        <v>1147</v>
      </c>
      <c r="G148" s="9" t="s">
        <v>1148</v>
      </c>
    </row>
    <row r="149" spans="1:7" x14ac:dyDescent="0.25">
      <c r="A149" s="8">
        <v>901048</v>
      </c>
      <c r="B149" s="6" t="s">
        <v>1149</v>
      </c>
      <c r="C149" s="5" t="s">
        <v>1150</v>
      </c>
      <c r="D149" s="7">
        <v>18557</v>
      </c>
      <c r="E149" s="5">
        <v>2915308</v>
      </c>
      <c r="F149" s="5" t="s">
        <v>1151</v>
      </c>
      <c r="G149" s="9" t="s">
        <v>1152</v>
      </c>
    </row>
    <row r="150" spans="1:7" x14ac:dyDescent="0.25">
      <c r="A150" s="8">
        <v>901049</v>
      </c>
      <c r="B150" s="6" t="s">
        <v>1153</v>
      </c>
      <c r="C150" s="5" t="s">
        <v>1154</v>
      </c>
      <c r="D150" s="7">
        <v>31933</v>
      </c>
      <c r="E150" s="5">
        <v>2918289</v>
      </c>
      <c r="F150" s="5" t="s">
        <v>1155</v>
      </c>
      <c r="G150" s="9" t="s">
        <v>1156</v>
      </c>
    </row>
    <row r="151" spans="1:7" x14ac:dyDescent="0.25">
      <c r="A151" s="8">
        <v>901050</v>
      </c>
      <c r="B151" s="6" t="s">
        <v>1157</v>
      </c>
      <c r="C151" s="5" t="s">
        <v>1158</v>
      </c>
      <c r="D151" s="7">
        <v>27913</v>
      </c>
      <c r="E151" s="5">
        <v>2921458</v>
      </c>
      <c r="F151" s="5" t="s">
        <v>1159</v>
      </c>
      <c r="G151" s="9" t="s">
        <v>1160</v>
      </c>
    </row>
    <row r="152" spans="1:7" x14ac:dyDescent="0.25">
      <c r="A152" s="8">
        <v>901051</v>
      </c>
      <c r="B152" s="6" t="s">
        <v>1161</v>
      </c>
      <c r="C152" s="5" t="s">
        <v>1162</v>
      </c>
      <c r="D152" s="7">
        <v>20627</v>
      </c>
      <c r="E152" s="5">
        <v>2921798</v>
      </c>
      <c r="F152" s="5" t="s">
        <v>1163</v>
      </c>
      <c r="G152" s="9" t="s">
        <v>1164</v>
      </c>
    </row>
    <row r="153" spans="1:7" x14ac:dyDescent="0.25">
      <c r="A153" s="8">
        <v>901052</v>
      </c>
      <c r="B153" s="6" t="s">
        <v>1165</v>
      </c>
      <c r="C153" s="5" t="s">
        <v>1166</v>
      </c>
      <c r="D153" s="7">
        <v>21720</v>
      </c>
      <c r="E153" s="5">
        <v>2924983</v>
      </c>
      <c r="F153" s="5" t="s">
        <v>1167</v>
      </c>
      <c r="G153" s="9" t="s">
        <v>1168</v>
      </c>
    </row>
    <row r="154" spans="1:7" x14ac:dyDescent="0.25">
      <c r="A154" s="8">
        <v>901053</v>
      </c>
      <c r="B154" s="6" t="s">
        <v>1169</v>
      </c>
      <c r="C154" s="5" t="s">
        <v>1170</v>
      </c>
      <c r="D154" s="7">
        <v>32951</v>
      </c>
      <c r="E154" s="5">
        <v>2925981</v>
      </c>
      <c r="F154" s="5" t="s">
        <v>1171</v>
      </c>
      <c r="G154" s="9" t="s">
        <v>1172</v>
      </c>
    </row>
    <row r="155" spans="1:7" x14ac:dyDescent="0.25">
      <c r="A155" s="8">
        <v>901054</v>
      </c>
      <c r="B155" s="6" t="s">
        <v>1173</v>
      </c>
      <c r="C155" s="5" t="s">
        <v>1174</v>
      </c>
      <c r="D155" s="7">
        <v>26192</v>
      </c>
      <c r="E155" s="5">
        <v>2926745</v>
      </c>
      <c r="F155" s="5" t="s">
        <v>1175</v>
      </c>
      <c r="G155" s="9" t="s">
        <v>1176</v>
      </c>
    </row>
    <row r="156" spans="1:7" ht="15.75" thickBot="1" x14ac:dyDescent="0.3">
      <c r="A156" s="10">
        <v>901055</v>
      </c>
      <c r="B156" s="11" t="s">
        <v>1177</v>
      </c>
      <c r="C156" s="12" t="s">
        <v>1178</v>
      </c>
      <c r="D156" s="13">
        <v>19320</v>
      </c>
      <c r="E156" s="12">
        <v>2928062</v>
      </c>
      <c r="F156" s="12" t="s">
        <v>1179</v>
      </c>
      <c r="G156" s="14" t="s">
        <v>1180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FACTURA</vt:lpstr>
      <vt:lpstr>VENDEDORES </vt:lpstr>
      <vt:lpstr>productos </vt:lpstr>
      <vt:lpstr>CLIENTES </vt:lpstr>
      <vt:lpstr>CLIENTE</vt:lpstr>
      <vt:lpstr>PRODUCTO</vt:lpstr>
      <vt:lpstr>VENDEDOR</vt:lpstr>
    </vt:vector>
  </TitlesOfParts>
  <Company>SENA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hfreyte</dc:creator>
  <cp:lastModifiedBy>SENA IA</cp:lastModifiedBy>
  <cp:lastPrinted>2026-05-27T17:32:08Z</cp:lastPrinted>
  <dcterms:created xsi:type="dcterms:W3CDTF">2009-06-23T16:31:37Z</dcterms:created>
  <dcterms:modified xsi:type="dcterms:W3CDTF">2026-05-27T18:04:15Z</dcterms:modified>
</cp:coreProperties>
</file>